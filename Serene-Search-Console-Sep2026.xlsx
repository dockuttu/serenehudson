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ueries" sheetId="2" state="visible" r:id="rId4"/>
    <sheet name="Pages" sheetId="3" state="visible" r:id="rId5"/>
    <sheet name="Topics" sheetId="4" state="visible" r:id="rId6"/>
    <sheet name="Opportunities" sheetId="5" state="visible" r:id="rId7"/>
    <sheet name="Devices" sheetId="6" state="visible" r:id="rId8"/>
  </sheets>
  <definedNames>
    <definedName function="false" hidden="true" localSheetId="5" name="_xlnm._FilterDatabase" vbProcedure="false">Devices!$A$1:$E$4</definedName>
    <definedName function="false" hidden="true" localSheetId="4" name="_xlnm._FilterDatabase" vbProcedure="false">Opportunities!$A$1:$H$41</definedName>
    <definedName function="false" hidden="true" localSheetId="2" name="_xlnm._FilterDatabase" vbProcedure="false">Pages!$A$1:$F$202</definedName>
    <definedName function="false" hidden="true" localSheetId="1" name="_xlnm._FilterDatabase" vbProcedure="false">Queries!$A$1:$H$499</definedName>
    <definedName function="false" hidden="true" localSheetId="3" name="_xlnm._FilterDatabase" vbProcedure="false">Topics!$A$1:$E$19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<sst xmlns="http://schemas.openxmlformats.org/spreadsheetml/2006/main" count="1642" uniqueCount="777">
  <si>
    <t xml:space="preserve">Serene Med Spa — Google Search Console export (serenemedspas.com domain property, all subdomains)</t>
  </si>
  <si>
    <t xml:space="preserve">Period</t>
  </si>
  <si>
    <t xml:space="preserve">Last 3 months (Jun 7 – Sep 6, 2026), Web search</t>
  </si>
  <si>
    <t xml:space="preserve">Exported</t>
  </si>
  <si>
    <t xml:space="preserve">Sep 9, 2026 — Google Sheet "serenemedspas.com-Performance-on-Search-2026-09-09" in your Drive</t>
  </si>
  <si>
    <t xml:space="preserve">Total clicks (site-wide)</t>
  </si>
  <si>
    <t xml:space="preserve">Total impressions (site-wide)</t>
  </si>
  <si>
    <t xml:space="preserve">Average CTR</t>
  </si>
  <si>
    <t xml:space="preserve">1.0%</t>
  </si>
  <si>
    <t xml:space="preserve">Average position</t>
  </si>
  <si>
    <t xml:space="preserve">Queries in export (Google caps at 1,000; 499 had data)</t>
  </si>
  <si>
    <t xml:space="preserve">Pages in export</t>
  </si>
  <si>
    <t xml:space="preserve">KEY FINDINGS</t>
  </si>
  <si>
    <t xml:space="preserve">1. Almost all search visibility still lives on the OLD WordPress site (serenemedspas.com), not on hudson./barboursville.</t>
  </si>
  <si>
    <t xml:space="preserve">Top pages: serenemedspas.com/ (60.6K impressions), /best-laser-for-tattoo-removal-guide/ (67.9K), /how-much-botox-cost/ (69.8K), /laser-tattoo-removal-process/ (10.9K), /peptide-therapy-benefits… (10K).</t>
  </si>
  <si>
    <t xml:space="preserve">2. Botox-cost questions: ~25,000 impressions at positions 3–8 with almost ZERO clicks.</t>
  </si>
  <si>
    <t xml:space="preserve">"how much is botox per unit" 6,111 imp / 0 clicks / pos 4.9. The page ranks but the title/snippet is not winning the click (0.08% CTR on /how-much-botox-cost/). Fix = rewrite title + meta + add a price table and FAQ schema; this is the single biggest quick win.</t>
  </si>
  <si>
    <t xml:space="preserve">3. Tattoo removal is the strongest non-brand topic: ~15,000 impressions across 20+ queries, positions 5–15.</t>
  </si>
  <si>
    <t xml:space="preserve">"best laser for tattoo removal" 1,398 imp pos 5.5 (30 clicks); "best tattoo removal" 4,798 imp pos 12.3; "tattoo removal laser" 1,375 imp pos 12.9. Strengthen the tattoo guide + Barboursville tattoo page + a Journal article; aim for page-1 on the 12–15 group.</t>
  </si>
  <si>
    <t xml:space="preserve">4. Semaglutide: 1,122 imp at position 3.0 but only 3 clicks; /semaglutide-weight-loss-program/ 5,134 imp, 0.33% CTR.</t>
  </si>
  <si>
    <t xml:space="preserve">Same pattern — ranking without winning the click. Title/meta rewrite + pricing clarity.</t>
  </si>
  <si>
    <t xml:space="preserve">5. Calf/shoulder-slimming Botox and peptide pages get thousands of impressions with &lt;1% CTR.</t>
  </si>
  <si>
    <t xml:space="preserve">Niche topics you rank for nationally; worth a refresh since the pages exist already.</t>
  </si>
  <si>
    <t xml:space="preserve">6. Brand searches convert extremely well (26–63% CTR) — the new sites already own them.</t>
  </si>
  <si>
    <t xml:space="preserve">RECOMMENDED NEXT MOVES (in order)</t>
  </si>
  <si>
    <t xml:space="preserve">A</t>
  </si>
  <si>
    <t xml:space="preserve">Rewrite titles/descriptions on the 5 old-site pages above (Botox cost, tattoo guide, tattoo process, semaglutide, peptides) — they already rank; this is a CTR fix worth an estimated 300–800 extra clicks/month.</t>
  </si>
  <si>
    <t xml:space="preserve">B</t>
  </si>
  <si>
    <t xml:space="preserve">Decide the future of serenemedspas.com (WordPress): keep it as the brand hub with 301s into hudson./barboursville./blog. for anything duplicated, OR migrate its top articles into The Serene Journal with 301 redirects so the rankings transfer.</t>
  </si>
  <si>
    <t xml:space="preserve">C</t>
  </si>
  <si>
    <t xml:space="preserve">Publish 3 Journal articles aimed at the open queries: "Best laser for tattoo removal (PICO vs Q-switched)", "How much does Botox cost per unit in Ohio &amp; WV", "Semaglutide vs tirzepatide: cost and results".</t>
  </si>
  <si>
    <t xml:space="preserve">D</t>
  </si>
  <si>
    <t xml:space="preserve">Watch the Opportunities tab monthly; anything at position 4–20 with &gt;300 impressions and &lt;2% CTR is a title/meta problem, anything at 11–20 is a content-depth problem.</t>
  </si>
  <si>
    <t xml:space="preserve">Query</t>
  </si>
  <si>
    <t xml:space="preserve">Clicks</t>
  </si>
  <si>
    <t xml:space="preserve">Impressions</t>
  </si>
  <si>
    <t xml:space="preserve">CTR</t>
  </si>
  <si>
    <t xml:space="preserve">Position</t>
  </si>
  <si>
    <t xml:space="preserve">Topic</t>
  </si>
  <si>
    <t xml:space="preserve">Opportunity score</t>
  </si>
  <si>
    <t xml:space="preserve">Diagnosis</t>
  </si>
  <si>
    <t xml:space="preserve">Opportunity score = impressions × (1 − CTR) ÷ position, for positions 3–20. Higher = more clicks available for the least effort.</t>
  </si>
  <si>
    <t xml:space="preserve">serene med spa</t>
  </si>
  <si>
    <t xml:space="preserve">Brand</t>
  </si>
  <si>
    <t xml:space="preserve">serene med spa barboursville wv</t>
  </si>
  <si>
    <t xml:space="preserve">serene med spa hudson</t>
  </si>
  <si>
    <t xml:space="preserve">serene med spa of hudson</t>
  </si>
  <si>
    <t xml:space="preserve">best laser for tattoo removal</t>
  </si>
  <si>
    <t xml:space="preserve">Tattoo removal</t>
  </si>
  <si>
    <t xml:space="preserve">serene medspa</t>
  </si>
  <si>
    <t xml:space="preserve">serene medical spa</t>
  </si>
  <si>
    <t xml:space="preserve">serene spa</t>
  </si>
  <si>
    <t xml:space="preserve">tattoo removal huntington wv</t>
  </si>
  <si>
    <t xml:space="preserve">massage near me</t>
  </si>
  <si>
    <t xml:space="preserve">Spa services (not core)</t>
  </si>
  <si>
    <t xml:space="preserve">med spa near me</t>
  </si>
  <si>
    <t xml:space="preserve">Sexual wellness</t>
  </si>
  <si>
    <t xml:space="preserve">botox near me</t>
  </si>
  <si>
    <t xml:space="preserve">Botox</t>
  </si>
  <si>
    <t xml:space="preserve">serene</t>
  </si>
  <si>
    <t xml:space="preserve">laser hair removal near me</t>
  </si>
  <si>
    <t xml:space="preserve">Laser hair removal</t>
  </si>
  <si>
    <t xml:space="preserve">lip filler near me</t>
  </si>
  <si>
    <t xml:space="preserve">Fillers</t>
  </si>
  <si>
    <t xml:space="preserve">iv therapy near me</t>
  </si>
  <si>
    <t xml:space="preserve">IV therapy</t>
  </si>
  <si>
    <t xml:space="preserve">best tattoo removal laser</t>
  </si>
  <si>
    <t xml:space="preserve">spa near me</t>
  </si>
  <si>
    <t xml:space="preserve">Med spa (local)</t>
  </si>
  <si>
    <t xml:space="preserve">medspa near me</t>
  </si>
  <si>
    <t xml:space="preserve">microneedling near me</t>
  </si>
  <si>
    <t xml:space="preserve">Morpheus8 / RF</t>
  </si>
  <si>
    <t xml:space="preserve">med spa huntington wv</t>
  </si>
  <si>
    <t xml:space="preserve">laser hair removal</t>
  </si>
  <si>
    <t xml:space="preserve">what is the best laser for tattoo removal</t>
  </si>
  <si>
    <t xml:space="preserve">best tattoo removal</t>
  </si>
  <si>
    <t xml:space="preserve">facials near me</t>
  </si>
  <si>
    <t xml:space="preserve">retatrutide benefits skin</t>
  </si>
  <si>
    <t xml:space="preserve">Other</t>
  </si>
  <si>
    <t xml:space="preserve">serene aesthetic surgery and medspa</t>
  </si>
  <si>
    <t xml:space="preserve">lash lift and tint near me</t>
  </si>
  <si>
    <t xml:space="preserve">serene med soa</t>
  </si>
  <si>
    <t xml:space="preserve">serene spa barboursville wv</t>
  </si>
  <si>
    <t xml:space="preserve">tattoo removal laser</t>
  </si>
  <si>
    <t xml:space="preserve">medical spa near me</t>
  </si>
  <si>
    <t xml:space="preserve">lip filler huntington wv</t>
  </si>
  <si>
    <t xml:space="preserve">med spas near me</t>
  </si>
  <si>
    <t xml:space="preserve">spa barboursville wv</t>
  </si>
  <si>
    <t xml:space="preserve">Local (other)</t>
  </si>
  <si>
    <t xml:space="preserve">how much is botox</t>
  </si>
  <si>
    <t xml:space="preserve">Botox cost/pricing</t>
  </si>
  <si>
    <t xml:space="preserve">best laser tattoo removal</t>
  </si>
  <si>
    <t xml:space="preserve">best tattoo removal machine</t>
  </si>
  <si>
    <t xml:space="preserve">massage barboursville wv</t>
  </si>
  <si>
    <t xml:space="preserve">reta peptide benefits for skin</t>
  </si>
  <si>
    <t xml:space="preserve">Peptides</t>
  </si>
  <si>
    <t xml:space="preserve">serene med spa : dr robin &amp; shweta arora</t>
  </si>
  <si>
    <t xml:space="preserve">best laser for black tattoo removal</t>
  </si>
  <si>
    <t xml:space="preserve">weight loss clinic barboursville wv</t>
  </si>
  <si>
    <t xml:space="preserve">Weight loss / GLP-1</t>
  </si>
  <si>
    <t xml:space="preserve">med spa hudson ohio</t>
  </si>
  <si>
    <t xml:space="preserve">liposuction near me</t>
  </si>
  <si>
    <t xml:space="preserve">serene med spa : dr robin and shweta arora barboursville</t>
  </si>
  <si>
    <t xml:space="preserve">serene med spa ormond beach</t>
  </si>
  <si>
    <t xml:space="preserve">serene spa near me</t>
  </si>
  <si>
    <t xml:space="preserve">semaglutide</t>
  </si>
  <si>
    <t xml:space="preserve">botox</t>
  </si>
  <si>
    <t xml:space="preserve">what is the best tattoo removal laser</t>
  </si>
  <si>
    <t xml:space="preserve">best laser for tattoo removal 2026</t>
  </si>
  <si>
    <t xml:space="preserve">hhb peptide benefits</t>
  </si>
  <si>
    <t xml:space="preserve">med spa</t>
  </si>
  <si>
    <t xml:space="preserve">spa huntington wv</t>
  </si>
  <si>
    <t xml:space="preserve">med spa ormond beach</t>
  </si>
  <si>
    <t xml:space="preserve">whats the best laser for tattoo removal</t>
  </si>
  <si>
    <t xml:space="preserve">laser hair removal huntington wv</t>
  </si>
  <si>
    <t xml:space="preserve">what is the most effective laser for tattoo removal</t>
  </si>
  <si>
    <t xml:space="preserve">spas near me</t>
  </si>
  <si>
    <t xml:space="preserve">hydrafacial near me</t>
  </si>
  <si>
    <t xml:space="preserve">serenity spa</t>
  </si>
  <si>
    <t xml:space="preserve">coolsculpting near me</t>
  </si>
  <si>
    <t xml:space="preserve">sauna near me</t>
  </si>
  <si>
    <t xml:space="preserve">iv hydration near me</t>
  </si>
  <si>
    <t xml:space="preserve">weight loss shots</t>
  </si>
  <si>
    <t xml:space="preserve">services offered by serene med spa : dr robin and shweta arora barboursville</t>
  </si>
  <si>
    <t xml:space="preserve">how much does botox cost</t>
  </si>
  <si>
    <t xml:space="preserve">best tattoo laser removal</t>
  </si>
  <si>
    <t xml:space="preserve">retatrutide skin benefits</t>
  </si>
  <si>
    <t xml:space="preserve">medspa</t>
  </si>
  <si>
    <t xml:space="preserve">best type of laser for tattoo removal</t>
  </si>
  <si>
    <t xml:space="preserve">what laser is used for tattoo removal</t>
  </si>
  <si>
    <t xml:space="preserve">tattoo removal best</t>
  </si>
  <si>
    <t xml:space="preserve">botox huntington wv</t>
  </si>
  <si>
    <t xml:space="preserve">how much does full face botox cost</t>
  </si>
  <si>
    <t xml:space="preserve">hudson spa</t>
  </si>
  <si>
    <t xml:space="preserve">spa hudson ohio</t>
  </si>
  <si>
    <t xml:space="preserve">serene soa</t>
  </si>
  <si>
    <t xml:space="preserve">semaglutide side effects</t>
  </si>
  <si>
    <t xml:space="preserve">morpheus8 near me</t>
  </si>
  <si>
    <t xml:space="preserve">hudson med spa</t>
  </si>
  <si>
    <t xml:space="preserve">massage hudson ohio</t>
  </si>
  <si>
    <t xml:space="preserve">tattoo removal near me</t>
  </si>
  <si>
    <t xml:space="preserve">spa in hudson ohio</t>
  </si>
  <si>
    <t xml:space="preserve">microneedling</t>
  </si>
  <si>
    <t xml:space="preserve">spas in hudson ohio</t>
  </si>
  <si>
    <t xml:space="preserve">head spa near me</t>
  </si>
  <si>
    <t xml:space="preserve">serene aesthetic surgery and med spa</t>
  </si>
  <si>
    <t xml:space="preserve">robin arora md</t>
  </si>
  <si>
    <t xml:space="preserve">hudson ohio spa</t>
  </si>
  <si>
    <t xml:space="preserve">arora aesthetics</t>
  </si>
  <si>
    <t xml:space="preserve">serene med spa reviews</t>
  </si>
  <si>
    <t xml:space="preserve">lip injections near me</t>
  </si>
  <si>
    <t xml:space="preserve">arora aesthetics ormond beach</t>
  </si>
  <si>
    <t xml:space="preserve">alma ted hair treatment near me</t>
  </si>
  <si>
    <t xml:space="preserve">micro needling near me</t>
  </si>
  <si>
    <t xml:space="preserve">weight loss</t>
  </si>
  <si>
    <t xml:space="preserve">med spa hudson</t>
  </si>
  <si>
    <t xml:space="preserve">weight loss near me</t>
  </si>
  <si>
    <t xml:space="preserve">weight loss shots near me</t>
  </si>
  <si>
    <t xml:space="preserve">lymphatic drainage massage near me</t>
  </si>
  <si>
    <t xml:space="preserve">massage therapist near me</t>
  </si>
  <si>
    <t xml:space="preserve">medi spa near me</t>
  </si>
  <si>
    <t xml:space="preserve">butt cupping near me</t>
  </si>
  <si>
    <t xml:space="preserve">Sculptra / BBL</t>
  </si>
  <si>
    <t xml:space="preserve">med spa near me within 5 mi</t>
  </si>
  <si>
    <t xml:space="preserve">couple massage near me</t>
  </si>
  <si>
    <t xml:space="preserve">day spa near me</t>
  </si>
  <si>
    <t xml:space="preserve">laser hair removal brazilian near me</t>
  </si>
  <si>
    <t xml:space="preserve">how much is a unit of botox</t>
  </si>
  <si>
    <t xml:space="preserve">average cost of botox per unit</t>
  </si>
  <si>
    <t xml:space="preserve">how much is botox for face</t>
  </si>
  <si>
    <t xml:space="preserve">botox cost</t>
  </si>
  <si>
    <t xml:space="preserve">laser tattoo removal</t>
  </si>
  <si>
    <t xml:space="preserve">medical spa</t>
  </si>
  <si>
    <t xml:space="preserve">best laser tattoo removal machine</t>
  </si>
  <si>
    <t xml:space="preserve">serene medical</t>
  </si>
  <si>
    <t xml:space="preserve">best lasers for tattoo removal</t>
  </si>
  <si>
    <t xml:space="preserve">most effective tattoo removal</t>
  </si>
  <si>
    <t xml:space="preserve">average botox price per unit</t>
  </si>
  <si>
    <t xml:space="preserve">how much does 40 units of botox cost</t>
  </si>
  <si>
    <t xml:space="preserve">what type of laser is used for tattoo removal</t>
  </si>
  <si>
    <t xml:space="preserve">best med spa near me</t>
  </si>
  <si>
    <t xml:space="preserve">best laser to remove tattoos</t>
  </si>
  <si>
    <t xml:space="preserve">what kind of laser is used for tattoo removal</t>
  </si>
  <si>
    <t xml:space="preserve">facials</t>
  </si>
  <si>
    <t xml:space="preserve">serene aesthetics</t>
  </si>
  <si>
    <t xml:space="preserve">tattoo removal best laser</t>
  </si>
  <si>
    <t xml:space="preserve">botox hudson</t>
  </si>
  <si>
    <t xml:space="preserve">types of laser tattoo removal</t>
  </si>
  <si>
    <t xml:space="preserve">which tattoo removal laser is best</t>
  </si>
  <si>
    <t xml:space="preserve">how much does 60 units of botox cost</t>
  </si>
  <si>
    <t xml:space="preserve">serene aesthetics &amp; wellness medspa</t>
  </si>
  <si>
    <t xml:space="preserve">med spa west virginia</t>
  </si>
  <si>
    <t xml:space="preserve">what kind of laser removes tattoos</t>
  </si>
  <si>
    <t xml:space="preserve">medical spa west virginia</t>
  </si>
  <si>
    <t xml:space="preserve">how much is full face botox</t>
  </si>
  <si>
    <t xml:space="preserve">tatoo removal laser</t>
  </si>
  <si>
    <t xml:space="preserve">spas huntington wv</t>
  </si>
  <si>
    <t xml:space="preserve">calf slimming botox</t>
  </si>
  <si>
    <t xml:space="preserve">Botox – calf/shoulder/trap</t>
  </si>
  <si>
    <t xml:space="preserve">tattoo removal</t>
  </si>
  <si>
    <t xml:space="preserve">best laser machine for tattoo removal</t>
  </si>
  <si>
    <t xml:space="preserve">at home tattoo removal laser</t>
  </si>
  <si>
    <t xml:space="preserve">spa ormond beach</t>
  </si>
  <si>
    <t xml:space="preserve">average cost botox</t>
  </si>
  <si>
    <t xml:space="preserve">what laser removes tattoos</t>
  </si>
  <si>
    <t xml:space="preserve">spas in huntington wv</t>
  </si>
  <si>
    <t xml:space="preserve">spa in huntington wv</t>
  </si>
  <si>
    <t xml:space="preserve">alma duo</t>
  </si>
  <si>
    <t xml:space="preserve">cost of 30 units of botox</t>
  </si>
  <si>
    <t xml:space="preserve">what is the best laser tattoo removal machine</t>
  </si>
  <si>
    <t xml:space="preserve">the best laser for tattoo removal</t>
  </si>
  <si>
    <t xml:space="preserve">tattoo removal technology</t>
  </si>
  <si>
    <t xml:space="preserve">what is the best tattoo removal</t>
  </si>
  <si>
    <t xml:space="preserve">medspa ormond beach</t>
  </si>
  <si>
    <t xml:space="preserve">what is the best tattoo removal machine</t>
  </si>
  <si>
    <t xml:space="preserve">laser hair removal west virginia</t>
  </si>
  <si>
    <t xml:space="preserve">is reta good for skin</t>
  </si>
  <si>
    <t xml:space="preserve">reta peptide for skin</t>
  </si>
  <si>
    <t xml:space="preserve">laser hair removal wv</t>
  </si>
  <si>
    <t xml:space="preserve">what laser is best for tattoo removal</t>
  </si>
  <si>
    <t xml:space="preserve">emsculpt near me</t>
  </si>
  <si>
    <t xml:space="preserve">most effective tattoo removal method</t>
  </si>
  <si>
    <t xml:space="preserve">massages near me</t>
  </si>
  <si>
    <t xml:space="preserve">spa in hudson</t>
  </si>
  <si>
    <t xml:space="preserve">serena aesthetics</t>
  </si>
  <si>
    <t xml:space="preserve">non surgical butt lift near me</t>
  </si>
  <si>
    <t xml:space="preserve">best laser to remove tattoo</t>
  </si>
  <si>
    <t xml:space="preserve">serena spa</t>
  </si>
  <si>
    <t xml:space="preserve">medical spas near me</t>
  </si>
  <si>
    <t xml:space="preserve">lip fillers near me</t>
  </si>
  <si>
    <t xml:space="preserve">is reta good for your skin</t>
  </si>
  <si>
    <t xml:space="preserve">serene beauty med spa</t>
  </si>
  <si>
    <t xml:space="preserve">massage places near me</t>
  </si>
  <si>
    <t xml:space="preserve">botox meaning</t>
  </si>
  <si>
    <t xml:space="preserve">best medical spa near me</t>
  </si>
  <si>
    <t xml:space="preserve">serene spa and wellness</t>
  </si>
  <si>
    <t xml:space="preserve">lash lift near me</t>
  </si>
  <si>
    <t xml:space="preserve">botox in shoulders before and after</t>
  </si>
  <si>
    <t xml:space="preserve">body contouring near me</t>
  </si>
  <si>
    <t xml:space="preserve">weight loss clinic near me</t>
  </si>
  <si>
    <t xml:space="preserve">weight loss clinic barboursville, wv</t>
  </si>
  <si>
    <t xml:space="preserve">emsculpt</t>
  </si>
  <si>
    <t xml:space="preserve">how much is a botox session</t>
  </si>
  <si>
    <t xml:space="preserve">price of botox per unit near me</t>
  </si>
  <si>
    <t xml:space="preserve">types of laser tattoo removal machines</t>
  </si>
  <si>
    <t xml:space="preserve">medical aesthetics near me</t>
  </si>
  <si>
    <t xml:space="preserve">most effective laser for tattoo removal</t>
  </si>
  <si>
    <t xml:space="preserve">lash lift and tint</t>
  </si>
  <si>
    <t xml:space="preserve">does retatrutide help your skin</t>
  </si>
  <si>
    <t xml:space="preserve">med spa charleston wv</t>
  </si>
  <si>
    <t xml:space="preserve">yes</t>
  </si>
  <si>
    <t xml:space="preserve">dermaplaning near me</t>
  </si>
  <si>
    <t xml:space="preserve">serne spa</t>
  </si>
  <si>
    <t xml:space="preserve">lip flip near me</t>
  </si>
  <si>
    <t xml:space="preserve">best laser for color tattoo removal</t>
  </si>
  <si>
    <t xml:space="preserve">dermaplane near me</t>
  </si>
  <si>
    <t xml:space="preserve">best botox near me</t>
  </si>
  <si>
    <t xml:space="preserve">where to get botox near me</t>
  </si>
  <si>
    <t xml:space="preserve">japanese head spa near me</t>
  </si>
  <si>
    <t xml:space="preserve">spider vein treatment near me</t>
  </si>
  <si>
    <t xml:space="preserve">pricing for botox</t>
  </si>
  <si>
    <t xml:space="preserve">botox how much</t>
  </si>
  <si>
    <t xml:space="preserve">xeomin near me</t>
  </si>
  <si>
    <t xml:space="preserve">lashes near me</t>
  </si>
  <si>
    <t xml:space="preserve">fillers near me</t>
  </si>
  <si>
    <t xml:space="preserve">masseter botox</t>
  </si>
  <si>
    <t xml:space="preserve">aesthetics near me</t>
  </si>
  <si>
    <t xml:space="preserve">spa places near me</t>
  </si>
  <si>
    <t xml:space="preserve">dermaplane facial</t>
  </si>
  <si>
    <t xml:space="preserve">lip filler wv</t>
  </si>
  <si>
    <t xml:space="preserve">lymphatic massages near me</t>
  </si>
  <si>
    <t xml:space="preserve">hair laser removal</t>
  </si>
  <si>
    <t xml:space="preserve">serna spa</t>
  </si>
  <si>
    <t xml:space="preserve">spider vein treatment</t>
  </si>
  <si>
    <t xml:space="preserve">chemical peel</t>
  </si>
  <si>
    <t xml:space="preserve">dermaplaning</t>
  </si>
  <si>
    <t xml:space="preserve">couples massage near me</t>
  </si>
  <si>
    <t xml:space="preserve">micro needling</t>
  </si>
  <si>
    <t xml:space="preserve">masseter botox near me</t>
  </si>
  <si>
    <t xml:space="preserve">chemical peel near me</t>
  </si>
  <si>
    <t xml:space="preserve">massage parlor near me</t>
  </si>
  <si>
    <t xml:space="preserve">tattoo laser removal near me</t>
  </si>
  <si>
    <t xml:space="preserve">how semaglutide works for weight loss</t>
  </si>
  <si>
    <t xml:space="preserve">medical pedicure near me</t>
  </si>
  <si>
    <t xml:space="preserve">cheap botox near me</t>
  </si>
  <si>
    <t xml:space="preserve">filler near me</t>
  </si>
  <si>
    <t xml:space="preserve">lip.filler near me</t>
  </si>
  <si>
    <t xml:space="preserve">scalp massage near me</t>
  </si>
  <si>
    <t xml:space="preserve">serene derma</t>
  </si>
  <si>
    <t xml:space="preserve">spas</t>
  </si>
  <si>
    <t xml:space="preserve">acne facial near me</t>
  </si>
  <si>
    <t xml:space="preserve">iv drip near me</t>
  </si>
  <si>
    <t xml:space="preserve">iv near me</t>
  </si>
  <si>
    <t xml:space="preserve">iv place near me</t>
  </si>
  <si>
    <t xml:space="preserve">glp shots near me</t>
  </si>
  <si>
    <t xml:space="preserve">iv fluids for dehydration near me</t>
  </si>
  <si>
    <t xml:space="preserve">diamond glow facial near me</t>
  </si>
  <si>
    <t xml:space="preserve">serene day spa</t>
  </si>
  <si>
    <t xml:space="preserve">plastic surgery near me</t>
  </si>
  <si>
    <t xml:space="preserve">spa treatments near me</t>
  </si>
  <si>
    <t xml:space="preserve">spa med</t>
  </si>
  <si>
    <t xml:space="preserve">dr. aurora</t>
  </si>
  <si>
    <t xml:space="preserve">filler places near me</t>
  </si>
  <si>
    <t xml:space="preserve">spa packages near me</t>
  </si>
  <si>
    <t xml:space="preserve">how does semaglutide help you lose weight</t>
  </si>
  <si>
    <t xml:space="preserve">vein treatment near me</t>
  </si>
  <si>
    <t xml:space="preserve">juvederm voluma penis</t>
  </si>
  <si>
    <t xml:space="preserve">laser tattoo removal near me</t>
  </si>
  <si>
    <t xml:space="preserve">medical pedicures near me</t>
  </si>
  <si>
    <t xml:space="preserve">eyelash lift and tint near me</t>
  </si>
  <si>
    <t xml:space="preserve">thermage near me</t>
  </si>
  <si>
    <t xml:space="preserve">lip filler specials near me</t>
  </si>
  <si>
    <t xml:space="preserve">serene med spa adventhealth</t>
  </si>
  <si>
    <t xml:space="preserve">korean botox</t>
  </si>
  <si>
    <t xml:space="preserve">prenatal massage near me</t>
  </si>
  <si>
    <t xml:space="preserve">classic facial near me</t>
  </si>
  <si>
    <t xml:space="preserve">vein clinic near me</t>
  </si>
  <si>
    <t xml:space="preserve">botox places near me</t>
  </si>
  <si>
    <t xml:space="preserve">health spa near me</t>
  </si>
  <si>
    <t xml:space="preserve">chemical peels near me</t>
  </si>
  <si>
    <t xml:space="preserve">couples massage</t>
  </si>
  <si>
    <t xml:space="preserve">botox providers near me</t>
  </si>
  <si>
    <t xml:space="preserve">hudson spas</t>
  </si>
  <si>
    <t xml:space="preserve">full body massage near me</t>
  </si>
  <si>
    <t xml:space="preserve">lash tint and lift</t>
  </si>
  <si>
    <t xml:space="preserve">serenity hudson</t>
  </si>
  <si>
    <t xml:space="preserve">calf contouring</t>
  </si>
  <si>
    <t xml:space="preserve">headspa near me</t>
  </si>
  <si>
    <t xml:space="preserve">hydro facial near me</t>
  </si>
  <si>
    <t xml:space="preserve">laser hair removal nearby</t>
  </si>
  <si>
    <t xml:space="preserve">laser vein treatment near me</t>
  </si>
  <si>
    <t xml:space="preserve">lash lift</t>
  </si>
  <si>
    <t xml:space="preserve">luvox side effects</t>
  </si>
  <si>
    <t xml:space="preserve">places to get lip filler near me</t>
  </si>
  <si>
    <t xml:space="preserve">who does botox near me</t>
  </si>
  <si>
    <t xml:space="preserve">iv spa near me</t>
  </si>
  <si>
    <t xml:space="preserve">lip filler cost near me</t>
  </si>
  <si>
    <t xml:space="preserve">med soa</t>
  </si>
  <si>
    <t xml:space="preserve">where can you get iv fluids for dehydration</t>
  </si>
  <si>
    <t xml:space="preserve">dr auroa</t>
  </si>
  <si>
    <t xml:space="preserve">colonic near me</t>
  </si>
  <si>
    <t xml:space="preserve">laser hair removal prices</t>
  </si>
  <si>
    <t xml:space="preserve">med spa hiring near me</t>
  </si>
  <si>
    <t xml:space="preserve">buccal massage near me</t>
  </si>
  <si>
    <t xml:space="preserve">serene asthetics</t>
  </si>
  <si>
    <t xml:space="preserve">serene beauty</t>
  </si>
  <si>
    <t xml:space="preserve">brazilian laser near me</t>
  </si>
  <si>
    <t xml:space="preserve">medical tattooing near me</t>
  </si>
  <si>
    <t xml:space="preserve">anti aging</t>
  </si>
  <si>
    <t xml:space="preserve">co2 laser near me</t>
  </si>
  <si>
    <t xml:space="preserve">prp treatment near me</t>
  </si>
  <si>
    <t xml:space="preserve">erectile dysfunction massage therapist near me</t>
  </si>
  <si>
    <t xml:space="preserve">eyelashes near me</t>
  </si>
  <si>
    <t xml:space="preserve">ass shots near me</t>
  </si>
  <si>
    <t xml:space="preserve">sculptra for buttocks near me</t>
  </si>
  <si>
    <t xml:space="preserve">bellafill specials near me</t>
  </si>
  <si>
    <t xml:space="preserve">couples spa</t>
  </si>
  <si>
    <t xml:space="preserve">hair removal.near me</t>
  </si>
  <si>
    <t xml:space="preserve">health iv near me</t>
  </si>
  <si>
    <t xml:space="preserve">how much is a spa membership</t>
  </si>
  <si>
    <t xml:space="preserve">hudson soa</t>
  </si>
  <si>
    <t xml:space="preserve">hydra facials near me</t>
  </si>
  <si>
    <t xml:space="preserve">is a semaglutide a glp 1</t>
  </si>
  <si>
    <t xml:space="preserve">iv infusion places near me</t>
  </si>
  <si>
    <t xml:space="preserve">iv place</t>
  </si>
  <si>
    <t xml:space="preserve">lip flip nesr me</t>
  </si>
  <si>
    <t xml:space="preserve">massage near me within 5 mi open now</t>
  </si>
  <si>
    <t xml:space="preserve">med spa.near me</t>
  </si>
  <si>
    <t xml:space="preserve">medical aesthetics jobs</t>
  </si>
  <si>
    <t xml:space="preserve">microneedling rf near me</t>
  </si>
  <si>
    <t xml:space="preserve">microneedling stretch marks near me</t>
  </si>
  <si>
    <t xml:space="preserve">obagi products near me</t>
  </si>
  <si>
    <t xml:space="preserve">serene salon</t>
  </si>
  <si>
    <t xml:space="preserve">serinity med spa</t>
  </si>
  <si>
    <t xml:space="preserve">side effects of facial botox injections</t>
  </si>
  <si>
    <t xml:space="preserve">skin tightening</t>
  </si>
  <si>
    <t xml:space="preserve">spa memberships near me</t>
  </si>
  <si>
    <t xml:space="preserve">taking phentermine for weight loss</t>
  </si>
  <si>
    <t xml:space="preserve">tatoo removal</t>
  </si>
  <si>
    <t xml:space="preserve">tattoo rem</t>
  </si>
  <si>
    <t xml:space="preserve">venus legacy near me</t>
  </si>
  <si>
    <t xml:space="preserve">weight loss clinic huntington wv</t>
  </si>
  <si>
    <t xml:space="preserve">what are the side effects of semaglutide</t>
  </si>
  <si>
    <t xml:space="preserve">what is botox and where does it come from</t>
  </si>
  <si>
    <t xml:space="preserve">where can i get a facial and massage near me</t>
  </si>
  <si>
    <t xml:space="preserve">which one is better</t>
  </si>
  <si>
    <t xml:space="preserve">body sculpting center</t>
  </si>
  <si>
    <t xml:space="preserve">japanese head massage near me</t>
  </si>
  <si>
    <t xml:space="preserve">japanese head spa treatment</t>
  </si>
  <si>
    <t xml:space="preserve">laser treatments</t>
  </si>
  <si>
    <t xml:space="preserve">local iv therapy near me</t>
  </si>
  <si>
    <t xml:space="preserve">botox armpits near me</t>
  </si>
  <si>
    <t xml:space="preserve">lenisna near me</t>
  </si>
  <si>
    <t xml:space="preserve">nurse injector hiring near me</t>
  </si>
  <si>
    <t xml:space="preserve">picosure tattoo removal cost</t>
  </si>
  <si>
    <t xml:space="preserve">tattoo laser removal machine for sale</t>
  </si>
  <si>
    <t xml:space="preserve">botox savings program eligibility</t>
  </si>
  <si>
    <t xml:space="preserve">diamond peel near me</t>
  </si>
  <si>
    <t xml:space="preserve">face glow injection</t>
  </si>
  <si>
    <t xml:space="preserve">iv store</t>
  </si>
  <si>
    <t xml:space="preserve">laser whitening near me</t>
  </si>
  <si>
    <t xml:space="preserve">clinic</t>
  </si>
  <si>
    <t xml:space="preserve">more places</t>
  </si>
  <si>
    <t xml:space="preserve">mud wrap</t>
  </si>
  <si>
    <t xml:space="preserve">kybella cost near me</t>
  </si>
  <si>
    <t xml:space="preserve">best deep tissue massage near me</t>
  </si>
  <si>
    <t xml:space="preserve">cupping massage near me</t>
  </si>
  <si>
    <t xml:space="preserve">facials nearby</t>
  </si>
  <si>
    <t xml:space="preserve">couple massages near me</t>
  </si>
  <si>
    <t xml:space="preserve">lip booster injection</t>
  </si>
  <si>
    <t xml:space="preserve">rejuvenation center</t>
  </si>
  <si>
    <t xml:space="preserve">facial spa membership</t>
  </si>
  <si>
    <t xml:space="preserve">microneedling with prp near me</t>
  </si>
  <si>
    <t xml:space="preserve">lip filler near me.</t>
  </si>
  <si>
    <t xml:space="preserve">wrinkle reducers near me</t>
  </si>
  <si>
    <t xml:space="preserve">womens spa near me</t>
  </si>
  <si>
    <t xml:space="preserve">scalp treatment near me</t>
  </si>
  <si>
    <t xml:space="preserve">couples spa packages near me</t>
  </si>
  <si>
    <t xml:space="preserve">scalp therapy near me</t>
  </si>
  <si>
    <t xml:space="preserve">skin spa near me</t>
  </si>
  <si>
    <t xml:space="preserve">diet clinic near me</t>
  </si>
  <si>
    <t xml:space="preserve">massage near.me.now</t>
  </si>
  <si>
    <t xml:space="preserve">how much is botox per unit</t>
  </si>
  <si>
    <t xml:space="preserve">botox cost per unit</t>
  </si>
  <si>
    <t xml:space="preserve">botox price per unit</t>
  </si>
  <si>
    <t xml:space="preserve">how much does botox cost per unit</t>
  </si>
  <si>
    <t xml:space="preserve">frown lines botox</t>
  </si>
  <si>
    <t xml:space="preserve">cost of botox</t>
  </si>
  <si>
    <t xml:space="preserve">botox unit price</t>
  </si>
  <si>
    <t xml:space="preserve">laser for tattoo removal</t>
  </si>
  <si>
    <t xml:space="preserve">how much does a unit of botox cost</t>
  </si>
  <si>
    <t xml:space="preserve">laser treatment for tattoo removal</t>
  </si>
  <si>
    <t xml:space="preserve">tattoo laser removal</t>
  </si>
  <si>
    <t xml:space="preserve">average botox cost per unit</t>
  </si>
  <si>
    <t xml:space="preserve">average cost of botox</t>
  </si>
  <si>
    <t xml:space="preserve">price of botox per unit</t>
  </si>
  <si>
    <t xml:space="preserve">botox per unit cost</t>
  </si>
  <si>
    <t xml:space="preserve">cost of botox per unit</t>
  </si>
  <si>
    <t xml:space="preserve">medical-grade tattoo removal laser</t>
  </si>
  <si>
    <t xml:space="preserve">full face botox price</t>
  </si>
  <si>
    <t xml:space="preserve">what's the best laser option for tattoo removal</t>
  </si>
  <si>
    <t xml:space="preserve">botox price</t>
  </si>
  <si>
    <t xml:space="preserve">shoulder slimming botox</t>
  </si>
  <si>
    <t xml:space="preserve">erase tattoo laser</t>
  </si>
  <si>
    <t xml:space="preserve">botox for frown lines</t>
  </si>
  <si>
    <t xml:space="preserve">best laser for removing colorful tattoos</t>
  </si>
  <si>
    <t xml:space="preserve">does alma medical aesthetics offer customizable packages for sexual wellness</t>
  </si>
  <si>
    <t xml:space="preserve">how much is botox a unit</t>
  </si>
  <si>
    <t xml:space="preserve">laser tattoo removal procedure</t>
  </si>
  <si>
    <t xml:space="preserve">how much per unit of botox</t>
  </si>
  <si>
    <t xml:space="preserve">alma laser tattoo removal vs other brands</t>
  </si>
  <si>
    <t xml:space="preserve">how much does 50 units of botox cost</t>
  </si>
  <si>
    <t xml:space="preserve">tool used in tattoo removal</t>
  </si>
  <si>
    <t xml:space="preserve">what are the side effects of botox</t>
  </si>
  <si>
    <t xml:space="preserve">40 units of botox cost</t>
  </si>
  <si>
    <t xml:space="preserve">best tattoo removal technology</t>
  </si>
  <si>
    <t xml:space="preserve">50 units of botox cost</t>
  </si>
  <si>
    <t xml:space="preserve">what are the advantages of medical-grade tattoo removal lasers over  consumer devices</t>
  </si>
  <si>
    <t xml:space="preserve">physician-led aesthetics akron</t>
  </si>
  <si>
    <t xml:space="preserve">average botox cost</t>
  </si>
  <si>
    <t xml:space="preserve">average cost per unit of botox</t>
  </si>
  <si>
    <t xml:space="preserve">how much is 60 units of botox</t>
  </si>
  <si>
    <t xml:space="preserve">frown line botox</t>
  </si>
  <si>
    <t xml:space="preserve">what is the average cost of botox per unit</t>
  </si>
  <si>
    <t xml:space="preserve">jawline filler medina</t>
  </si>
  <si>
    <t xml:space="preserve">what is the best laser for professional tattoo removal in 2024</t>
  </si>
  <si>
    <t xml:space="preserve">tirzepatide culpeper</t>
  </si>
  <si>
    <t xml:space="preserve">medspa hartford</t>
  </si>
  <si>
    <t xml:space="preserve">are alma lasers good for sexual wellness treatments</t>
  </si>
  <si>
    <t xml:space="preserve">tattoo removal lasers</t>
  </si>
  <si>
    <t xml:space="preserve">xeomin price per unit</t>
  </si>
  <si>
    <t xml:space="preserve">med spa plaistow nh</t>
  </si>
  <si>
    <t xml:space="preserve">professional tattoo removal treatments</t>
  </si>
  <si>
    <t xml:space="preserve">how much does 20 units of botox cost</t>
  </si>
  <si>
    <t xml:space="preserve">top medical devices for tattoo removal</t>
  </si>
  <si>
    <t xml:space="preserve">alma laser vs competitors for tattoo removal 2026</t>
  </si>
  <si>
    <t xml:space="preserve">botox and frown lines</t>
  </si>
  <si>
    <t xml:space="preserve">which is the procedure in tattoo removal altwayguides</t>
  </si>
  <si>
    <t xml:space="preserve">sknlab facial price med spa</t>
  </si>
  <si>
    <t xml:space="preserve">20 units of botox cost</t>
  </si>
  <si>
    <t xml:space="preserve">price per unit of botox</t>
  </si>
  <si>
    <t xml:space="preserve">calf botox</t>
  </si>
  <si>
    <t xml:space="preserve">average price per unit of botox</t>
  </si>
  <si>
    <t xml:space="preserve">what is the average cost of botox</t>
  </si>
  <si>
    <t xml:space="preserve">peptide therapy benefits</t>
  </si>
  <si>
    <t xml:space="preserve">cost per unit of botox</t>
  </si>
  <si>
    <t xml:space="preserve">average price of botox per unit</t>
  </si>
  <si>
    <t xml:space="preserve">best tattoo removal laser machine</t>
  </si>
  <si>
    <t xml:space="preserve">most effective laser tattoo removal</t>
  </si>
  <si>
    <t xml:space="preserve">hair loss treatment</t>
  </si>
  <si>
    <t xml:space="preserve">Hair restoration</t>
  </si>
  <si>
    <t xml:space="preserve">30 units of botox cost</t>
  </si>
  <si>
    <t xml:space="preserve">prp hair treatment muskego wi</t>
  </si>
  <si>
    <t xml:space="preserve">average cost for botox</t>
  </si>
  <si>
    <t xml:space="preserve">hylenex dissolver</t>
  </si>
  <si>
    <t xml:space="preserve">med spa lexington</t>
  </si>
  <si>
    <t xml:space="preserve">botox frown lines</t>
  </si>
  <si>
    <t xml:space="preserve">sculptra bbl decatur</t>
  </si>
  <si>
    <t xml:space="preserve">evolvex</t>
  </si>
  <si>
    <t xml:space="preserve">medspa bristol</t>
  </si>
  <si>
    <t xml:space="preserve">medspa libertyville</t>
  </si>
  <si>
    <t xml:space="preserve">acne treatment</t>
  </si>
  <si>
    <t xml:space="preserve">botox pricing</t>
  </si>
  <si>
    <t xml:space="preserve">how much does 30 units of botox cost</t>
  </si>
  <si>
    <t xml:space="preserve">how much is 30 units of botox</t>
  </si>
  <si>
    <t xml:space="preserve">medspa+services+huntington</t>
  </si>
  <si>
    <t xml:space="preserve">inmode evolve michigan</t>
  </si>
  <si>
    <t xml:space="preserve">botox unit cost</t>
  </si>
  <si>
    <t xml:space="preserve">medspa gainesville</t>
  </si>
  <si>
    <t xml:space="preserve">tattoo removal laser machine</t>
  </si>
  <si>
    <t xml:space="preserve">inmode evolve detroit</t>
  </si>
  <si>
    <t xml:space="preserve">med spa, oak harbor, wa</t>
  </si>
  <si>
    <t xml:space="preserve">60 units of botox cost</t>
  </si>
  <si>
    <t xml:space="preserve">tattoo removal treatment</t>
  </si>
  <si>
    <t xml:space="preserve">med spa dyer</t>
  </si>
  <si>
    <t xml:space="preserve">botox prices per unit</t>
  </si>
  <si>
    <t xml:space="preserve">types of tattoo removal lasers</t>
  </si>
  <si>
    <t xml:space="preserve">med spa south jordan</t>
  </si>
  <si>
    <t xml:space="preserve">medical spa libertyville il</t>
  </si>
  <si>
    <t xml:space="preserve">how much is 40 units of botox</t>
  </si>
  <si>
    <t xml:space="preserve">ted hair restoration fairhope</t>
  </si>
  <si>
    <t xml:space="preserve">botox-injection-clinic-in-scottsville-ky</t>
  </si>
  <si>
    <t xml:space="preserve">flomax</t>
  </si>
  <si>
    <t xml:space="preserve">leg botox</t>
  </si>
  <si>
    <t xml:space="preserve">serene moments medspa</t>
  </si>
  <si>
    <t xml:space="preserve">best laser for tattoo removal 2024</t>
  </si>
  <si>
    <t xml:space="preserve">botox side effects</t>
  </si>
  <si>
    <t xml:space="preserve">medspa sunset beach</t>
  </si>
  <si>
    <t xml:space="preserve">med spa sunset beach</t>
  </si>
  <si>
    <t xml:space="preserve">med spa lakewood</t>
  </si>
  <si>
    <t xml:space="preserve">lasers for tattoo removal</t>
  </si>
  <si>
    <t xml:space="preserve">hylenex filler dissolver coral gables</t>
  </si>
  <si>
    <t xml:space="preserve">medical spa marin county</t>
  </si>
  <si>
    <t xml:space="preserve">stages of tattoo removal</t>
  </si>
  <si>
    <t xml:space="preserve">med spa decatur</t>
  </si>
  <si>
    <t xml:space="preserve">tattoo laser surgery</t>
  </si>
  <si>
    <t xml:space="preserve">average price for botox per unit</t>
  </si>
  <si>
    <t xml:space="preserve">tattoo removal process</t>
  </si>
  <si>
    <t xml:space="preserve">ted hair restoration gulf shores</t>
  </si>
  <si>
    <t xml:space="preserve">juvederm volbella under eyes</t>
  </si>
  <si>
    <t xml:space="preserve">hylenex treatment near me</t>
  </si>
  <si>
    <t xml:space="preserve">holistic doctor in paintsville ky</t>
  </si>
  <si>
    <t xml:space="preserve">laser tattoo removal treatment</t>
  </si>
  <si>
    <t xml:space="preserve">most effective tattoo removal options</t>
  </si>
  <si>
    <t xml:space="preserve">average cost for botox per unit</t>
  </si>
  <si>
    <t xml:space="preserve">med spa grasmere</t>
  </si>
  <si>
    <t xml:space="preserve">medispa near me</t>
  </si>
  <si>
    <t xml:space="preserve">acoustic wave hair therapy abilene, tx</t>
  </si>
  <si>
    <t xml:space="preserve">medical spa hartford</t>
  </si>
  <si>
    <t xml:space="preserve">which laser is best for tattoo removal</t>
  </si>
  <si>
    <t xml:space="preserve">average price of botox</t>
  </si>
  <si>
    <t xml:space="preserve">does reta help with skin</t>
  </si>
  <si>
    <t xml:space="preserve">tattoo laser treatment</t>
  </si>
  <si>
    <t xml:space="preserve">how does laser tattoo removal work</t>
  </si>
  <si>
    <t xml:space="preserve">botox to relax shoulders</t>
  </si>
  <si>
    <t xml:space="preserve">medical spa lakewood ranch</t>
  </si>
  <si>
    <t xml:space="preserve">bester laser für tattooentfernung</t>
  </si>
  <si>
    <t xml:space="preserve">best tattoo removal treatment</t>
  </si>
  <si>
    <t xml:space="preserve">Page</t>
  </si>
  <si>
    <t xml:space="preserve">Site</t>
  </si>
  <si>
    <t xml:space="preserve">https://serenemedspas.com/</t>
  </si>
  <si>
    <t xml:space="preserve">Old WordPress</t>
  </si>
  <si>
    <t xml:space="preserve">https://serenemedspas.com/best-laser-for-tattoo-removal-guide/</t>
  </si>
  <si>
    <t xml:space="preserve">https://serenemedspas.com/locations/huntington-barboursville-wv/</t>
  </si>
  <si>
    <t xml:space="preserve">https://serenemedspas.com/locations/visit-serene-med-spa-in-hudson-oh/</t>
  </si>
  <si>
    <t xml:space="preserve">http://serenemedspas.com/</t>
  </si>
  <si>
    <t xml:space="preserve">https://serenemedspas.com/locations/ormond-beach/</t>
  </si>
  <si>
    <t xml:space="preserve">https://serenemedspas.com/peptide-therapy-benefits-skin-hair-wellness/</t>
  </si>
  <si>
    <t xml:space="preserve">https://hudson.serenemedspas.com/</t>
  </si>
  <si>
    <t xml:space="preserve">Hudson</t>
  </si>
  <si>
    <t xml:space="preserve">https://serenemedspas.com/how-much-botox-cost/</t>
  </si>
  <si>
    <t xml:space="preserve">https://serenemedspas.com/service/</t>
  </si>
  <si>
    <t xml:space="preserve">https://serenemedspas.com/penis-girth-enhancement-juvederm-voluma/</t>
  </si>
  <si>
    <t xml:space="preserve">https://serenemedspas.com/team/</t>
  </si>
  <si>
    <t xml:space="preserve">https://serenemedspas.com/calf-slimming-botox-treatment-serene-med-spas/</t>
  </si>
  <si>
    <t xml:space="preserve">https://serenemedspas.com/locations/visit-serene-med-spa-in-paintsville-ky/</t>
  </si>
  <si>
    <t xml:space="preserve">https://serenemedspas.com/semaglutide-weight-loss-program/</t>
  </si>
  <si>
    <t xml:space="preserve">https://serenemedspas.com/alma-duo-treatment-sexual-wellness/</t>
  </si>
  <si>
    <t xml:space="preserve">https://serenemedspas.com/locations/</t>
  </si>
  <si>
    <t xml:space="preserve">https://serenemedspas.com/reviews/</t>
  </si>
  <si>
    <t xml:space="preserve">https://serenemedspas.com/alma-ted-hair-restoration/</t>
  </si>
  <si>
    <t xml:space="preserve">https://serenemedspas.com/sculptra-body-contouring-non-surgical-butt-lift/</t>
  </si>
  <si>
    <t xml:space="preserve">https://serenemedspas.com/serene-med-spa-dr-robin-arora/</t>
  </si>
  <si>
    <t xml:space="preserve">https://serenemedspas.com/botox-for-shoulder-slimming/</t>
  </si>
  <si>
    <t xml:space="preserve">https://serenemedspas.com/contact-us/</t>
  </si>
  <si>
    <t xml:space="preserve">https://serenemedspas.com/laser-tattoo-removal-process/</t>
  </si>
  <si>
    <t xml:space="preserve">https://serenemedspas.com/tirzepatide-weight-loss-treatment/</t>
  </si>
  <si>
    <t xml:space="preserve">https://serenemedspas.com/membership/</t>
  </si>
  <si>
    <t xml:space="preserve">https://serenemedspas.com/product/serene-recovery-gel/</t>
  </si>
  <si>
    <t xml:space="preserve">https://serenemedspas.com/what-is-botox-treatment/</t>
  </si>
  <si>
    <t xml:space="preserve">https://serenemedspas.com/botox-side-effects-guide/</t>
  </si>
  <si>
    <t xml:space="preserve">https://serenemedspas.com/medical-weight-loss-benefits-serene-med-spas/</t>
  </si>
  <si>
    <t xml:space="preserve">https://serenemedspas.com/botox-for-frown-lines-risks-and-benefits/</t>
  </si>
  <si>
    <t xml:space="preserve">https://serenemedspas.com/privacy-practices/</t>
  </si>
  <si>
    <t xml:space="preserve">https://serenemedspas.com/laser-nail-fungus-treatment-serene-med-spa/</t>
  </si>
  <si>
    <t xml:space="preserve">https://serenemedspas.com/the-serene-hydration-bar/</t>
  </si>
  <si>
    <t xml:space="preserve">https://serenemedspas.com/filler-dissolver-hylenex-treatment/</t>
  </si>
  <si>
    <t xml:space="preserve">https://serenemedspas.com/inmode-evolvex-body-contouring/</t>
  </si>
  <si>
    <t xml:space="preserve">https://serenemedspas.com/sknlab-skin-rejuvenation-treatment/</t>
  </si>
  <si>
    <t xml:space="preserve">https://serenemedspas.com/under-eye-filler-treatment/</t>
  </si>
  <si>
    <t xml:space="preserve">https://serenemedspas.com/cheek-filler-treatment/</t>
  </si>
  <si>
    <t xml:space="preserve">https://serenemedspas.com/how-much-does-botox-cost/</t>
  </si>
  <si>
    <t xml:space="preserve">https://serenemedspas.com/botox-treatment-benefits/</t>
  </si>
  <si>
    <t xml:space="preserve">https://hudson.serenemedspas.com/pricing/</t>
  </si>
  <si>
    <t xml:space="preserve">https://hudson.serenemedspas.com/\#services</t>
  </si>
  <si>
    <t xml:space="preserve">https://serenemedspas.com/our-providers/shweta-arora/</t>
  </si>
  <si>
    <t xml:space="preserve">https://serenemedspas.com/about-us/</t>
  </si>
  <si>
    <t xml:space="preserve">https://serenemedspas.com/specials/</t>
  </si>
  <si>
    <t xml:space="preserve">https://serenemedspas.com/botox-for-frown-lines-guide/</t>
  </si>
  <si>
    <t xml:space="preserve">https://serenemedspas.com/shop/</t>
  </si>
  <si>
    <t xml:space="preserve">https://serenemedspas.com/under-eye-prp-treatment/</t>
  </si>
  <si>
    <t xml:space="preserve">https://serenemedspas.com/sciton-moxi-laser-revitalization/</t>
  </si>
  <si>
    <t xml:space="preserve">https://serenemedspas.com/natural-prp-hair-restoration/</t>
  </si>
  <si>
    <t xml:space="preserve">https://serenemedspas.com/inmode-forma-skin-tightening-benefits/</t>
  </si>
  <si>
    <t xml:space="preserve">https://hudson.serenemedspas.com/morpheus8/</t>
  </si>
  <si>
    <t xml:space="preserve">https://hudson.serenemedspas.com/fillers/</t>
  </si>
  <si>
    <t xml:space="preserve">https://serenemedspas.com/empowerrf-vaginal-rejuvenation-treatment/</t>
  </si>
  <si>
    <t xml:space="preserve">https://serenemedspas.com/filler-injection-treatments-at-serene-med-spa/</t>
  </si>
  <si>
    <t xml:space="preserve">https://serenemedspas.com/financing/</t>
  </si>
  <si>
    <t xml:space="preserve">https://serenemedspas.com/product/serene-radiance-peel-pads/</t>
  </si>
  <si>
    <t xml:space="preserve">https://serenemedspas.com/our-story/</t>
  </si>
  <si>
    <t xml:space="preserve">https://serenemedspas.com/product/serene-rescue-pads/</t>
  </si>
  <si>
    <t xml:space="preserve">https://serenemedspas.com/perfect-derma-peel-treatment/</t>
  </si>
  <si>
    <t xml:space="preserve">https://serenemedspas.com/fitzpatrick-skin-type-self-assessment/</t>
  </si>
  <si>
    <t xml:space="preserve">https://serenemedspas.com/our-providers/robin-arora-md/</t>
  </si>
  <si>
    <t xml:space="preserve">https://serenemedspas.com/labial-puff-treatment-intimate-rejuvenation/</t>
  </si>
  <si>
    <t xml:space="preserve">https://serenemedspas.com/pro-nox-nitrous-treatment/</t>
  </si>
  <si>
    <t xml:space="preserve">https://serenemedspas.com/our-providers/robin-arora/</t>
  </si>
  <si>
    <t xml:space="preserve">https://hudson.serenemedspas.com/forma/</t>
  </si>
  <si>
    <t xml:space="preserve">https://hudson.serenemedspas.com/evolve-x/</t>
  </si>
  <si>
    <t xml:space="preserve">https://hudson.serenemedspas.com/lipomelt/</t>
  </si>
  <si>
    <t xml:space="preserve">https://serenemedspas.com/botox-for-frown-lines/</t>
  </si>
  <si>
    <t xml:space="preserve">https://serenemedspas.com/jawline-filler-treatment-at-serene-med-spa/</t>
  </si>
  <si>
    <t xml:space="preserve">https://serenemedspas.com/llc-privacy-policy/</t>
  </si>
  <si>
    <t xml:space="preserve">https://hudson.serenemedspas.com/before-after/</t>
  </si>
  <si>
    <t xml:space="preserve">https://serenemedspas.com/weight-loss-injections-guide/</t>
  </si>
  <si>
    <t xml:space="preserve">https://serenemedspas.com/laser-hair-removal-at-serene-med-spa/</t>
  </si>
  <si>
    <t xml:space="preserve">https://serenemedspas.com/microneedling-with-prp/</t>
  </si>
  <si>
    <t xml:space="preserve">https://serenemedspas.com/ez-gel-prf-treatment-natural-skin-rejuvenation/</t>
  </si>
  <si>
    <t xml:space="preserve">https://serenemedspas.com/aroramd-skin-confidence-report/</t>
  </si>
  <si>
    <t xml:space="preserve">https://serenemedspas.com/vi-peel-near-me-benefits-cost/</t>
  </si>
  <si>
    <t xml:space="preserve">https://serenemedspas.com/terms-of-service/</t>
  </si>
  <si>
    <t xml:space="preserve">https://hudson.serenemedspas.com/thread-lift/</t>
  </si>
  <si>
    <t xml:space="preserve">https://hudson.serenemedspas.com/kybella/</t>
  </si>
  <si>
    <t xml:space="preserve">https://serenemedspas.com/hand-filler-injections-benefits/</t>
  </si>
  <si>
    <t xml:space="preserve">https://hudson.serenemedspas.com/botox/</t>
  </si>
  <si>
    <t xml:space="preserve">https://serenemedspas.com/neuromodulator-iq/</t>
  </si>
  <si>
    <t xml:space="preserve">https://serenemedspas.com/restylane-contour-cheek-filler-treatment/</t>
  </si>
  <si>
    <t xml:space="preserve">https://hudson.serenemedspas.com/lip-filler/</t>
  </si>
  <si>
    <t xml:space="preserve">https://hudson.serenemedspas.com/sculptra/</t>
  </si>
  <si>
    <t xml:space="preserve">https://hudson.serenemedspas.com/hydrafacial/</t>
  </si>
  <si>
    <t xml:space="preserve">https://serenemedspas.com/p-shot-and-o-shot-treatments/</t>
  </si>
  <si>
    <t xml:space="preserve">https://hudson.serenemedspas.com/under-eye-filler/</t>
  </si>
  <si>
    <t xml:space="preserve">https://serenemedspas.com/biote-hormone-therapy/</t>
  </si>
  <si>
    <t xml:space="preserve">https://serenemedspas.com/filleriq/</t>
  </si>
  <si>
    <t xml:space="preserve">https://serenemedspas.com/product/serene-regenerative-silk/</t>
  </si>
  <si>
    <t xml:space="preserve">https://serenemedspas.com/baby-botox-treatment/</t>
  </si>
  <si>
    <t xml:space="preserve">https://hudson.serenemedspas.com/chemical-peels/</t>
  </si>
  <si>
    <t xml:space="preserve">https://hudson.serenemedspas.com/laser-skin/</t>
  </si>
  <si>
    <t xml:space="preserve">https://serenemedspas.com/product/arora-md-nightly-retinoid/</t>
  </si>
  <si>
    <t xml:space="preserve">https://hudson.serenemedspas.com/emsculpt-neo/</t>
  </si>
  <si>
    <t xml:space="preserve">https://serenemedspas.com/p-shot-benefits-men/</t>
  </si>
  <si>
    <t xml:space="preserve">https://serenemedspas.com/terms-of-use/</t>
  </si>
  <si>
    <t xml:space="preserve">https://hudson.serenemedspas.com/skinvive/</t>
  </si>
  <si>
    <t xml:space="preserve">https://serenemedspas.com/blogs/</t>
  </si>
  <si>
    <t xml:space="preserve">https://serenemedspas.com/laser-facial-treatment-at-serene-med-spa/</t>
  </si>
  <si>
    <t xml:space="preserve">https://hudson.serenemedspas.com/iv-therapy/</t>
  </si>
  <si>
    <t xml:space="preserve">https://serenemedspas.com/cortisone-injection-treatment-serene-med-spas/</t>
  </si>
  <si>
    <t xml:space="preserve">https://serenemedspas.com/botox-side-effects-guide-2/</t>
  </si>
  <si>
    <t xml:space="preserve">https://serenemedspas.com/sciton-bbl-photofacial/</t>
  </si>
  <si>
    <t xml:space="preserve">https://serenemedspas.com/liftiq-by-serene/</t>
  </si>
  <si>
    <t xml:space="preserve">https://serenemedspas.com/nad-injection/</t>
  </si>
  <si>
    <t xml:space="preserve">https://serenemedspas.com/discrimination/</t>
  </si>
  <si>
    <t xml:space="preserve">https://serenemedspas.com/pdo-thread-lift-face-neck/</t>
  </si>
  <si>
    <t xml:space="preserve">https://serenemedspas.com/product/arora-md-eye-sculpt/</t>
  </si>
  <si>
    <t xml:space="preserve">https://serenemedspas.com/opus-plasma-skin-resurfacing/</t>
  </si>
  <si>
    <t xml:space="preserve">https://serenemedspas.com/vein-removal-treatment-options/</t>
  </si>
  <si>
    <t xml:space="preserve">https://hudson.serenemedspas.com/\#about</t>
  </si>
  <si>
    <t xml:space="preserve">https://hudson.serenemedspas.com/shop/</t>
  </si>
  <si>
    <t xml:space="preserve">https://hudson.serenemedspas.com/hyperpigmentation/</t>
  </si>
  <si>
    <t xml:space="preserve">https://serenemedspas.com/prp-vaginal-rejuvenation-o-shot/</t>
  </si>
  <si>
    <t xml:space="preserve">https://serenemedspas.com/recommendation-webapp/</t>
  </si>
  <si>
    <t xml:space="preserve">https://serenemedspas.com/product/arora-md-clarity-complex/</t>
  </si>
  <si>
    <t xml:space="preserve">https://hudson.serenemedspas.com/blog/</t>
  </si>
  <si>
    <t xml:space="preserve">https://serenemedspas.com/morpheus8-hyperhidrosis-treatment/</t>
  </si>
  <si>
    <t xml:space="preserve">https://hudson.serenemedspas.com/medical-facials/</t>
  </si>
  <si>
    <t xml:space="preserve">https://serenemedspas.com/dermaplaning-facial-treatment-serene-med-spas/</t>
  </si>
  <si>
    <t xml:space="preserve">https://hudson.serenemedspas.com/laser-hair-removal/</t>
  </si>
  <si>
    <t xml:space="preserve">https://serenemedspas.com/restylane-eyelight-under-eye-filler-treatment/</t>
  </si>
  <si>
    <t xml:space="preserve">https://serenemedspas.com/sculptra-treatment-guide/</t>
  </si>
  <si>
    <t xml:space="preserve">https://serenemedspas.com/what-are-dermal-fillers/</t>
  </si>
  <si>
    <t xml:space="preserve">https://hudson.serenemedspas.com/weight-loss/</t>
  </si>
  <si>
    <t xml:space="preserve">https://hudson.serenemedspas.com/chin-filler/</t>
  </si>
  <si>
    <t xml:space="preserve">https://hudson.serenemedspas.com/laser-facial/</t>
  </si>
  <si>
    <t xml:space="preserve">https://serenemedspas.com/expert-spider-vein-treatment/</t>
  </si>
  <si>
    <t xml:space="preserve">https://serenemedspas.com/kybella-treatment-for-double-chin/</t>
  </si>
  <si>
    <t xml:space="preserve">https://serenemedspas.com/skinvive-hyaluronic-skin-treatment/</t>
  </si>
  <si>
    <t xml:space="preserve">https://serenemedspas.com/morpheus8-rf-microneedling-treatment-at-serene-med-spas/</t>
  </si>
  <si>
    <t xml:space="preserve">https://serenemedspas.com/xeomin-treatments/</t>
  </si>
  <si>
    <t xml:space="preserve">https://hudson.serenemedspas.com/diamondglow/</t>
  </si>
  <si>
    <t xml:space="preserve">https://hudson.serenemedspas.com/laser-tattoo-removal/</t>
  </si>
  <si>
    <t xml:space="preserve">https://serenemedspas.com/product/arora-md-c-bright-complex/</t>
  </si>
  <si>
    <t xml:space="preserve">https://hudson.serenemedspas.com/jawline-filler/</t>
  </si>
  <si>
    <t xml:space="preserve">https://serenemedspas.com/wrinkle-treatments/</t>
  </si>
  <si>
    <t xml:space="preserve">https://hudson.serenemedspas.com/training/</t>
  </si>
  <si>
    <t xml:space="preserve">https://serenemedspas.com/hydrafacial-treatment-benefits/</t>
  </si>
  <si>
    <t xml:space="preserve">https://serenemedspas.com/iv-infusions-staff-pricing-dosing-guide/</t>
  </si>
  <si>
    <t xml:space="preserve">https://hudson.serenemedspas.com/cheek-filler/</t>
  </si>
  <si>
    <t xml:space="preserve">https://serenemedspas.com/what-is-botox-guide/</t>
  </si>
  <si>
    <t xml:space="preserve">https://hudson.serenemedspas.com/hormone-optimization/</t>
  </si>
  <si>
    <t xml:space="preserve">https://serenemedspas.com/5-benefits-of-dysport-treatment/</t>
  </si>
  <si>
    <t xml:space="preserve">https://hudson.serenemedspas.com/mens-sexual-wellness/</t>
  </si>
  <si>
    <t xml:space="preserve">https://hudson.serenemedspas.com/\#consult</t>
  </si>
  <si>
    <t xml:space="preserve">https://serenemedspas.com/exosome-treatment-skin-hair-rejuvenation/</t>
  </si>
  <si>
    <t xml:space="preserve">https://serenemedspas.com/restylane-lyft-filler-treatment/</t>
  </si>
  <si>
    <t xml:space="preserve">https://serenemedspas.com/chemical-peel-treatments-serene-med-spa/</t>
  </si>
  <si>
    <t xml:space="preserve">https://serenemedspas.com/juvederm-ultra-xc-filler-treatment/</t>
  </si>
  <si>
    <t xml:space="preserve">https://serenemedspas.com/wp-content/uploads/2025/11/SERENE-MED-SPA-IV-INFUSIONS-MENU.pdf</t>
  </si>
  <si>
    <t xml:space="preserve">https://serenemedspas.com/microneedling-treatment-serene-med-spa/</t>
  </si>
  <si>
    <t xml:space="preserve">https://serenemedspas.com/juvederm-treatment-for-youthful-skin/</t>
  </si>
  <si>
    <t xml:space="preserve">https://hudson.serenemedspas.com/womens-sexual-wellness/</t>
  </si>
  <si>
    <t xml:space="preserve">https://serenemedspas.com/inavii\_ig\_media/17994191036527015/</t>
  </si>
  <si>
    <t xml:space="preserve">https://serenemedspas.com/juvederm-vollure-xc-treatment-wrinkle-reduction/</t>
  </si>
  <si>
    <t xml:space="preserve">https://serenemedspas.com/laser-vein-removal-treatment-serene-med-spas/</t>
  </si>
  <si>
    <t xml:space="preserve">https://serenemedspas.com/cosmetic-filler-injectable-treatment-serene-med-spa/</t>
  </si>
  <si>
    <t xml:space="preserve">https://serenemedspas.com/juvederm-voluma-xc-midface-volume-treatment/</t>
  </si>
  <si>
    <t xml:space="preserve">https://serenemedspas.com/restylane-refyne-filler-treatment/</t>
  </si>
  <si>
    <t xml:space="preserve">https://serenemedspas.com/restylane-kysse-lip-filler-treatment/</t>
  </si>
  <si>
    <t xml:space="preserve">https://serenemedspas.com/lip-filler-injection/</t>
  </si>
  <si>
    <t xml:space="preserve">https://hudson.serenemedspas.com/hydration-bar/</t>
  </si>
  <si>
    <t xml:space="preserve">https://hudson.serenemedspas.com/spider-veins/</t>
  </si>
  <si>
    <t xml:space="preserve">https://serenemedspas.com/diolazexl-laser-hair-removal-at-serene-med-spa/</t>
  </si>
  <si>
    <t xml:space="preserve">https://barboursville.serenemedspas.com/</t>
  </si>
  <si>
    <t xml:space="preserve">Barboursville</t>
  </si>
  <si>
    <t xml:space="preserve">https://serenemedspas.com/brand/arora-md/</t>
  </si>
  <si>
    <t xml:space="preserve">https://serenemedspas.com/product/silkshield-all-mineral-sunscreen-spf-30-with-trihex-technology/</t>
  </si>
  <si>
    <t xml:space="preserve">https://serenemedspas.com/juvederm-ultra-plus-serene-med-spa/</t>
  </si>
  <si>
    <t xml:space="preserve">https://hudson.serenemedspas.com/photofacial/</t>
  </si>
  <si>
    <t xml:space="preserve">https://serenemedspas.com/inavii\_ig\_media/18084839080510948/</t>
  </si>
  <si>
    <t xml:space="preserve">https://serenemedspas.com/uneven-skin-tone-treatments-serene-med-spa/</t>
  </si>
  <si>
    <t xml:space="preserve">https://hudson.serenemedspas.com/prp-hair-restoration/</t>
  </si>
  <si>
    <t xml:space="preserve">https://serenemedspas.com/post-care-instructions/</t>
  </si>
  <si>
    <t xml:space="preserve">https://serenemedspas.com/product/serene-o2-infusion/</t>
  </si>
  <si>
    <t xml:space="preserve">https://serenemedspas.com/teeth-grinding-bruxism-treatment/</t>
  </si>
  <si>
    <t xml:space="preserve">https://serenemedspas.com/top-facial-treatments-for-glowing-skin/</t>
  </si>
  <si>
    <t xml:space="preserve">https://hudson.serenemedspas.com/bodytite/</t>
  </si>
  <si>
    <t xml:space="preserve">https://serenemedspas.com/return-policy/</t>
  </si>
  <si>
    <t xml:space="preserve">https://serenemedspas.com/wp-content/uploads/2025/12/average-botox-units-4.webp</t>
  </si>
  <si>
    <t xml:space="preserve">https://serenemedspas.com/restylane-defyne-treatment-serene-med-spa/</t>
  </si>
  <si>
    <t xml:space="preserve">https://hudson.serenemedspas.com/blog/male-lip-filler-juvederm-volbella/</t>
  </si>
  <si>
    <t xml:space="preserve">https://hudson.serenemedspas.com/blog/iv-therapy-immune-support-fall/</t>
  </si>
  <si>
    <t xml:space="preserve">https://serenemedspas.com/sweat-reduction-treatment/</t>
  </si>
  <si>
    <t xml:space="preserve">https://serenemedspas.com/iv-vitamin-therapy-benefits/</t>
  </si>
  <si>
    <t xml:space="preserve">https://www.serenemedspas.com/best-laser-for-tattoo-removal-guide/</t>
  </si>
  <si>
    <t xml:space="preserve">https://serenemedspas.com/inavii\_ig\_media/18057175258857588/</t>
  </si>
  <si>
    <t xml:space="preserve">https://serenemedspas.com/neurotoxin-injection-treatments-for-wrinkles/</t>
  </si>
  <si>
    <t xml:space="preserve">https://serenemedspas.com/wp-content/uploads/2025/11/IMG\_0253-1-1024x768.webp</t>
  </si>
  <si>
    <t xml:space="preserve">https://serenemedspas.com/juvederm-volbella-xc-treatment-lip-filler/</t>
  </si>
  <si>
    <t xml:space="preserve">https://serenemedspas.com/our-providers/</t>
  </si>
  <si>
    <t xml:space="preserve">https://serenemedspas.com/wp-content/uploads/2025/11/WhatsApp-Image-2025-11-27-at-12.23.16-1024x683.jpeg</t>
  </si>
  <si>
    <t xml:space="preserve">https://serenemedspas.com/inavii\_ig\_media/18044510348032758/</t>
  </si>
  <si>
    <t xml:space="preserve">https://serenemedspas.com/vitalityiq/</t>
  </si>
  <si>
    <t xml:space="preserve">https://hudson.serenemedspas.com/facetite/</t>
  </si>
  <si>
    <t xml:space="preserve">https://hudson.serenemedspas.com/liposuction/</t>
  </si>
  <si>
    <t xml:space="preserve"># queries</t>
  </si>
  <si>
    <t xml:space="preserve">Total</t>
  </si>
  <si>
    <t xml:space="preserve">Likely page today</t>
  </si>
  <si>
    <t xml:space="preserve">Action</t>
  </si>
  <si>
    <t xml:space="preserve">Rewrite title: "Botox Cost Per Unit (2026): What You Pay in Ohio &amp; WV" + price table + FAQ schema; link to hudson/bv pricing</t>
  </si>
  <si>
    <t xml:space="preserve">Refresh guide (PICO vs Q-switched, sessions, cost), add before/afters + Journal article; link to barboursville /laser-tattoo-removal/</t>
  </si>
  <si>
    <t xml:space="preserve">Title/meta rewrite with price + "physician-supervised"; add tirzepatide; FAQ schema</t>
  </si>
  <si>
    <t xml:space="preserve">hudson./barboursville. home pages</t>
  </si>
  <si>
    <t xml:space="preserve">Local: GBP posts, reviews, city pages</t>
  </si>
  <si>
    <t xml:space="preserve">Device</t>
  </si>
  <si>
    <t xml:space="preserve">Mobile</t>
  </si>
  <si>
    <t xml:space="preserve">Desktop</t>
  </si>
  <si>
    <t xml:space="preserve">Tablet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</si>
</sst>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F2B3D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F2B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F2B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0"/>
  </cols>
  <sheetData>
    <row r="1" customFormat="false" ht="44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2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2" t="s">
        <v>5</v>
      </c>
      <c r="B5" s="2" t="n">
        <v>2820</v>
      </c>
    </row>
    <row r="6" customFormat="false" ht="15" hidden="false" customHeight="false" outlineLevel="0" collapsed="false">
      <c r="A6" s="2" t="s">
        <v>6</v>
      </c>
      <c r="B6" s="2" t="n">
        <v>276000</v>
      </c>
    </row>
    <row r="7" customFormat="false" ht="15" hidden="false" customHeight="false" outlineLevel="0" collapsed="false">
      <c r="A7" s="2" t="s">
        <v>7</v>
      </c>
      <c r="B7" s="2" t="s">
        <v>8</v>
      </c>
    </row>
    <row r="8" customFormat="false" ht="15" hidden="false" customHeight="false" outlineLevel="0" collapsed="false">
      <c r="A8" s="2" t="s">
        <v>9</v>
      </c>
      <c r="B8" s="2" t="n">
        <v>15.4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2" t="s">
        <v>10</v>
      </c>
      <c r="B10" s="2" t="n">
        <v>498</v>
      </c>
    </row>
    <row r="11" customFormat="false" ht="15" hidden="false" customHeight="false" outlineLevel="0" collapsed="false">
      <c r="A11" s="2" t="s">
        <v>11</v>
      </c>
      <c r="B11" s="2" t="n">
        <v>201</v>
      </c>
    </row>
    <row r="12" customFormat="false" ht="15" hidden="false" customHeight="false" outlineLevel="0" collapsed="false">
      <c r="A12" s="2"/>
      <c r="B12" s="2"/>
    </row>
    <row r="13" customFormat="false" ht="15" hidden="false" customHeight="false" outlineLevel="0" collapsed="false">
      <c r="A13" s="3" t="s">
        <v>12</v>
      </c>
      <c r="B13" s="2"/>
    </row>
    <row r="14" customFormat="false" ht="26.85" hidden="false" customHeight="false" outlineLevel="0" collapsed="false">
      <c r="A14" s="2" t="s">
        <v>13</v>
      </c>
      <c r="B14" s="2" t="s">
        <v>14</v>
      </c>
    </row>
    <row r="15" customFormat="false" ht="39.55" hidden="false" customHeight="false" outlineLevel="0" collapsed="false">
      <c r="A15" s="2" t="s">
        <v>15</v>
      </c>
      <c r="B15" s="2" t="s">
        <v>16</v>
      </c>
    </row>
    <row r="16" customFormat="false" ht="39.55" hidden="false" customHeight="false" outlineLevel="0" collapsed="false">
      <c r="A16" s="2" t="s">
        <v>17</v>
      </c>
      <c r="B16" s="2" t="s">
        <v>18</v>
      </c>
    </row>
    <row r="17" customFormat="false" ht="26.85" hidden="false" customHeight="false" outlineLevel="0" collapsed="false">
      <c r="A17" s="2" t="s">
        <v>19</v>
      </c>
      <c r="B17" s="2" t="s">
        <v>20</v>
      </c>
    </row>
    <row r="18" customFormat="false" ht="26.85" hidden="false" customHeight="false" outlineLevel="0" collapsed="false">
      <c r="A18" s="2" t="s">
        <v>21</v>
      </c>
      <c r="B18" s="2" t="s">
        <v>22</v>
      </c>
    </row>
    <row r="19" customFormat="false" ht="26.85" hidden="false" customHeight="false" outlineLevel="0" collapsed="false">
      <c r="A19" s="2" t="s">
        <v>23</v>
      </c>
      <c r="B19" s="2"/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2" t="s">
        <v>24</v>
      </c>
      <c r="B21" s="2"/>
    </row>
    <row r="22" customFormat="false" ht="26.85" hidden="false" customHeight="false" outlineLevel="0" collapsed="false">
      <c r="A22" s="2" t="s">
        <v>25</v>
      </c>
      <c r="B22" s="2" t="s">
        <v>26</v>
      </c>
    </row>
    <row r="23" customFormat="false" ht="26.85" hidden="false" customHeight="false" outlineLevel="0" collapsed="false">
      <c r="A23" s="2" t="s">
        <v>27</v>
      </c>
      <c r="B23" s="2" t="s">
        <v>28</v>
      </c>
    </row>
    <row r="24" customFormat="false" ht="26.85" hidden="false" customHeight="false" outlineLevel="0" collapsed="false">
      <c r="A24" s="2" t="s">
        <v>29</v>
      </c>
      <c r="B24" s="2" t="s">
        <v>30</v>
      </c>
    </row>
    <row r="25" customFormat="false" ht="26.85" hidden="false" customHeight="false" outlineLevel="0" collapsed="false">
      <c r="A25" s="2" t="s">
        <v>31</v>
      </c>
      <c r="B25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34"/>
  </cols>
  <sheetData>
    <row r="1" customFormat="false" ht="26.8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39</v>
      </c>
      <c r="H1" s="4" t="s">
        <v>40</v>
      </c>
      <c r="J1" s="5" t="s">
        <v>41</v>
      </c>
    </row>
    <row r="2" customFormat="false" ht="15" hidden="false" customHeight="false" outlineLevel="0" collapsed="false">
      <c r="A2" s="6" t="s">
        <v>42</v>
      </c>
      <c r="B2" s="6" t="n">
        <v>367</v>
      </c>
      <c r="C2" s="6" t="n">
        <v>1379</v>
      </c>
      <c r="D2" s="7" t="n">
        <v>0.2661</v>
      </c>
      <c r="E2" s="8" t="n">
        <v>1.98</v>
      </c>
      <c r="F2" s="6" t="s">
        <v>43</v>
      </c>
      <c r="G2" s="6" t="n">
        <f aca="false">IF(AND(E2&gt;=3,E2&lt;=20),ROUND(C2*(1-D2)*(1/E2),0),0)</f>
        <v>0</v>
      </c>
      <c r="H2" s="6" t="str">
        <f aca="false">IF(F2="Brand","Brand — already winning",IF(AND(E2&lt;=10,D2&lt;0.02,C2&gt;=200),"Ranks page 1 but no clicks → fix title/meta",IF(AND(E2&gt;10,E2&lt;=20,C2&gt;=200),"Page 2 → deepen content / add article",IF(E2&gt;20,"Weak — needs dedicated page","OK"))))</f>
        <v>Brand — already winning</v>
      </c>
    </row>
    <row r="3" customFormat="false" ht="15" hidden="false" customHeight="false" outlineLevel="0" collapsed="false">
      <c r="A3" s="6" t="s">
        <v>44</v>
      </c>
      <c r="B3" s="6" t="n">
        <v>92</v>
      </c>
      <c r="C3" s="6" t="n">
        <v>212</v>
      </c>
      <c r="D3" s="7" t="n">
        <v>0.434</v>
      </c>
      <c r="E3" s="8" t="n">
        <v>1.14</v>
      </c>
      <c r="F3" s="6" t="s">
        <v>43</v>
      </c>
      <c r="G3" s="6" t="n">
        <f aca="false">IF(AND(E3&gt;=3,E3&lt;=20),ROUND(C3*(1-D3)*(1/E3),0),0)</f>
        <v>0</v>
      </c>
      <c r="H3" s="6" t="str">
        <f aca="false">IF(F3="Brand","Brand — already winning",IF(AND(E3&lt;=10,D3&lt;0.02,C3&gt;=200),"Ranks page 1 but no clicks → fix title/meta",IF(AND(E3&gt;10,E3&lt;=20,C3&gt;=200),"Page 2 → deepen content / add article",IF(E3&gt;20,"Weak — needs dedicated page","OK"))))</f>
        <v>Brand — already winning</v>
      </c>
    </row>
    <row r="4" customFormat="false" ht="15" hidden="false" customHeight="false" outlineLevel="0" collapsed="false">
      <c r="A4" s="6" t="s">
        <v>45</v>
      </c>
      <c r="B4" s="6" t="n">
        <v>57</v>
      </c>
      <c r="C4" s="6" t="n">
        <v>90</v>
      </c>
      <c r="D4" s="7" t="n">
        <v>0.6333</v>
      </c>
      <c r="E4" s="8" t="n">
        <v>1.08</v>
      </c>
      <c r="F4" s="6" t="s">
        <v>43</v>
      </c>
      <c r="G4" s="6" t="n">
        <f aca="false">IF(AND(E4&gt;=3,E4&lt;=20),ROUND(C4*(1-D4)*(1/E4),0),0)</f>
        <v>0</v>
      </c>
      <c r="H4" s="6" t="str">
        <f aca="false">IF(F4="Brand","Brand — already winning",IF(AND(E4&lt;=10,D4&lt;0.02,C4&gt;=200),"Ranks page 1 but no clicks → fix title/meta",IF(AND(E4&gt;10,E4&lt;=20,C4&gt;=200),"Page 2 → deepen content / add article",IF(E4&gt;20,"Weak — needs dedicated page","OK"))))</f>
        <v>Brand — already winning</v>
      </c>
    </row>
    <row r="5" customFormat="false" ht="15" hidden="false" customHeight="false" outlineLevel="0" collapsed="false">
      <c r="A5" s="6" t="s">
        <v>46</v>
      </c>
      <c r="B5" s="6" t="n">
        <v>39</v>
      </c>
      <c r="C5" s="6" t="n">
        <v>76</v>
      </c>
      <c r="D5" s="7" t="n">
        <v>0.5132</v>
      </c>
      <c r="E5" s="8" t="n">
        <v>1.2</v>
      </c>
      <c r="F5" s="6" t="s">
        <v>43</v>
      </c>
      <c r="G5" s="6" t="n">
        <f aca="false">IF(AND(E5&gt;=3,E5&lt;=20),ROUND(C5*(1-D5)*(1/E5),0),0)</f>
        <v>0</v>
      </c>
      <c r="H5" s="6" t="str">
        <f aca="false">IF(F5="Brand","Brand — already winning",IF(AND(E5&lt;=10,D5&lt;0.02,C5&gt;=200),"Ranks page 1 but no clicks → fix title/meta",IF(AND(E5&gt;10,E5&lt;=20,C5&gt;=200),"Page 2 → deepen content / add article",IF(E5&gt;20,"Weak — needs dedicated page","OK"))))</f>
        <v>Brand — already winning</v>
      </c>
    </row>
    <row r="6" customFormat="false" ht="15" hidden="false" customHeight="false" outlineLevel="0" collapsed="false">
      <c r="A6" s="6" t="s">
        <v>47</v>
      </c>
      <c r="B6" s="6" t="n">
        <v>30</v>
      </c>
      <c r="C6" s="6" t="n">
        <v>1398</v>
      </c>
      <c r="D6" s="7" t="n">
        <v>0.0215</v>
      </c>
      <c r="E6" s="8" t="n">
        <v>5.48</v>
      </c>
      <c r="F6" s="6" t="s">
        <v>48</v>
      </c>
      <c r="G6" s="6" t="n">
        <f aca="false">IF(AND(E6&gt;=3,E6&lt;=20),ROUND(C6*(1-D6)*(1/E6),0),0)</f>
        <v>250</v>
      </c>
      <c r="H6" s="6" t="str">
        <f aca="false">IF(F6="Brand","Brand — already winning",IF(AND(E6&lt;=10,D6&lt;0.02,C6&gt;=200),"Ranks page 1 but no clicks → fix title/meta",IF(AND(E6&gt;10,E6&lt;=20,C6&gt;=200),"Page 2 → deepen content / add article",IF(E6&gt;20,"Weak — needs dedicated page","OK"))))</f>
        <v>OK</v>
      </c>
    </row>
    <row r="7" customFormat="false" ht="15" hidden="false" customHeight="false" outlineLevel="0" collapsed="false">
      <c r="A7" s="6" t="s">
        <v>49</v>
      </c>
      <c r="B7" s="6" t="n">
        <v>23</v>
      </c>
      <c r="C7" s="6" t="n">
        <v>148</v>
      </c>
      <c r="D7" s="7" t="n">
        <v>0.1554</v>
      </c>
      <c r="E7" s="8" t="n">
        <v>7.72</v>
      </c>
      <c r="F7" s="6" t="s">
        <v>43</v>
      </c>
      <c r="G7" s="6" t="n">
        <f aca="false">IF(AND(E7&gt;=3,E7&lt;=20),ROUND(C7*(1-D7)*(1/E7),0),0)</f>
        <v>16</v>
      </c>
      <c r="H7" s="6" t="str">
        <f aca="false">IF(F7="Brand","Brand — already winning",IF(AND(E7&lt;=10,D7&lt;0.02,C7&gt;=200),"Ranks page 1 but no clicks → fix title/meta",IF(AND(E7&gt;10,E7&lt;=20,C7&gt;=200),"Page 2 → deepen content / add article",IF(E7&gt;20,"Weak — needs dedicated page","OK"))))</f>
        <v>Brand — already winning</v>
      </c>
    </row>
    <row r="8" customFormat="false" ht="15" hidden="false" customHeight="false" outlineLevel="0" collapsed="false">
      <c r="A8" s="6" t="s">
        <v>50</v>
      </c>
      <c r="B8" s="6" t="n">
        <v>21</v>
      </c>
      <c r="C8" s="6" t="n">
        <v>142</v>
      </c>
      <c r="D8" s="7" t="n">
        <v>0.1479</v>
      </c>
      <c r="E8" s="8" t="n">
        <v>3.49</v>
      </c>
      <c r="F8" s="6" t="s">
        <v>43</v>
      </c>
      <c r="G8" s="6" t="n">
        <f aca="false">IF(AND(E8&gt;=3,E8&lt;=20),ROUND(C8*(1-D8)*(1/E8),0),0)</f>
        <v>35</v>
      </c>
      <c r="H8" s="6" t="str">
        <f aca="false">IF(F8="Brand","Brand — already winning",IF(AND(E8&lt;=10,D8&lt;0.02,C8&gt;=200),"Ranks page 1 but no clicks → fix title/meta",IF(AND(E8&gt;10,E8&lt;=20,C8&gt;=200),"Page 2 → deepen content / add article",IF(E8&gt;20,"Weak — needs dedicated page","OK"))))</f>
        <v>Brand — already winning</v>
      </c>
    </row>
    <row r="9" customFormat="false" ht="15" hidden="false" customHeight="false" outlineLevel="0" collapsed="false">
      <c r="A9" s="6" t="s">
        <v>51</v>
      </c>
      <c r="B9" s="6" t="n">
        <v>20</v>
      </c>
      <c r="C9" s="6" t="n">
        <v>1722</v>
      </c>
      <c r="D9" s="7" t="n">
        <v>0.0116</v>
      </c>
      <c r="E9" s="8" t="n">
        <v>7.69</v>
      </c>
      <c r="F9" s="6" t="s">
        <v>43</v>
      </c>
      <c r="G9" s="6" t="n">
        <f aca="false">IF(AND(E9&gt;=3,E9&lt;=20),ROUND(C9*(1-D9)*(1/E9),0),0)</f>
        <v>221</v>
      </c>
      <c r="H9" s="6" t="str">
        <f aca="false">IF(F9="Brand","Brand — already winning",IF(AND(E9&lt;=10,D9&lt;0.02,C9&gt;=200),"Ranks page 1 but no clicks → fix title/meta",IF(AND(E9&gt;10,E9&lt;=20,C9&gt;=200),"Page 2 → deepen content / add article",IF(E9&gt;20,"Weak — needs dedicated page","OK"))))</f>
        <v>Brand — already winning</v>
      </c>
    </row>
    <row r="10" customFormat="false" ht="15" hidden="false" customHeight="false" outlineLevel="0" collapsed="false">
      <c r="A10" s="6" t="s">
        <v>52</v>
      </c>
      <c r="B10" s="6" t="n">
        <v>19</v>
      </c>
      <c r="C10" s="6" t="n">
        <v>125</v>
      </c>
      <c r="D10" s="7" t="n">
        <v>0.152</v>
      </c>
      <c r="E10" s="8" t="n">
        <v>10.35</v>
      </c>
      <c r="F10" s="6" t="s">
        <v>48</v>
      </c>
      <c r="G10" s="6" t="n">
        <f aca="false">IF(AND(E10&gt;=3,E10&lt;=20),ROUND(C10*(1-D10)*(1/E10),0),0)</f>
        <v>10</v>
      </c>
      <c r="H10" s="6" t="str">
        <f aca="false">IF(F10="Brand","Brand — already winning",IF(AND(E10&lt;=10,D10&lt;0.02,C10&gt;=200),"Ranks page 1 but no clicks → fix title/meta",IF(AND(E10&gt;10,E10&lt;=20,C10&gt;=200),"Page 2 → deepen content / add article",IF(E10&gt;20,"Weak — needs dedicated page","OK"))))</f>
        <v>OK</v>
      </c>
    </row>
    <row r="11" customFormat="false" ht="15" hidden="false" customHeight="false" outlineLevel="0" collapsed="false">
      <c r="A11" s="6" t="s">
        <v>53</v>
      </c>
      <c r="B11" s="6" t="n">
        <v>16</v>
      </c>
      <c r="C11" s="6" t="n">
        <v>242</v>
      </c>
      <c r="D11" s="7" t="n">
        <v>0.0661</v>
      </c>
      <c r="E11" s="8" t="n">
        <v>9.84</v>
      </c>
      <c r="F11" s="6" t="s">
        <v>54</v>
      </c>
      <c r="G11" s="6" t="n">
        <f aca="false">IF(AND(E11&gt;=3,E11&lt;=20),ROUND(C11*(1-D11)*(1/E11),0),0)</f>
        <v>23</v>
      </c>
      <c r="H11" s="6" t="str">
        <f aca="false">IF(F11="Brand","Brand — already winning",IF(AND(E11&lt;=10,D11&lt;0.02,C11&gt;=200),"Ranks page 1 but no clicks → fix title/meta",IF(AND(E11&gt;10,E11&lt;=20,C11&gt;=200),"Page 2 → deepen content / add article",IF(E11&gt;20,"Weak — needs dedicated page","OK"))))</f>
        <v>OK</v>
      </c>
    </row>
    <row r="12" customFormat="false" ht="15" hidden="false" customHeight="false" outlineLevel="0" collapsed="false">
      <c r="A12" s="6" t="s">
        <v>55</v>
      </c>
      <c r="B12" s="6" t="n">
        <v>15</v>
      </c>
      <c r="C12" s="6" t="n">
        <v>439</v>
      </c>
      <c r="D12" s="7" t="n">
        <v>0.0342</v>
      </c>
      <c r="E12" s="8" t="n">
        <v>4.43</v>
      </c>
      <c r="F12" s="6" t="s">
        <v>56</v>
      </c>
      <c r="G12" s="6" t="n">
        <f aca="false">IF(AND(E12&gt;=3,E12&lt;=20),ROUND(C12*(1-D12)*(1/E12),0),0)</f>
        <v>96</v>
      </c>
      <c r="H12" s="6" t="str">
        <f aca="false">IF(F12="Brand","Brand — already winning",IF(AND(E12&lt;=10,D12&lt;0.02,C12&gt;=200),"Ranks page 1 but no clicks → fix title/meta",IF(AND(E12&gt;10,E12&lt;=20,C12&gt;=200),"Page 2 → deepen content / add article",IF(E12&gt;20,"Weak — needs dedicated page","OK"))))</f>
        <v>OK</v>
      </c>
    </row>
    <row r="13" customFormat="false" ht="15" hidden="false" customHeight="false" outlineLevel="0" collapsed="false">
      <c r="A13" s="6" t="s">
        <v>57</v>
      </c>
      <c r="B13" s="6" t="n">
        <v>15</v>
      </c>
      <c r="C13" s="6" t="n">
        <v>210</v>
      </c>
      <c r="D13" s="7" t="n">
        <v>0.0714</v>
      </c>
      <c r="E13" s="8" t="n">
        <v>7.02</v>
      </c>
      <c r="F13" s="6" t="s">
        <v>58</v>
      </c>
      <c r="G13" s="6" t="n">
        <f aca="false">IF(AND(E13&gt;=3,E13&lt;=20),ROUND(C13*(1-D13)*(1/E13),0),0)</f>
        <v>28</v>
      </c>
      <c r="H13" s="6" t="str">
        <f aca="false">IF(F13="Brand","Brand — already winning",IF(AND(E13&lt;=10,D13&lt;0.02,C13&gt;=200),"Ranks page 1 but no clicks → fix title/meta",IF(AND(E13&gt;10,E13&lt;=20,C13&gt;=200),"Page 2 → deepen content / add article",IF(E13&gt;20,"Weak — needs dedicated page","OK"))))</f>
        <v>OK</v>
      </c>
    </row>
    <row r="14" customFormat="false" ht="15" hidden="false" customHeight="false" outlineLevel="0" collapsed="false">
      <c r="A14" s="6" t="s">
        <v>59</v>
      </c>
      <c r="B14" s="6" t="n">
        <v>15</v>
      </c>
      <c r="C14" s="6" t="n">
        <v>118</v>
      </c>
      <c r="D14" s="7" t="n">
        <v>0.1271</v>
      </c>
      <c r="E14" s="8" t="n">
        <v>3.71</v>
      </c>
      <c r="F14" s="6" t="s">
        <v>43</v>
      </c>
      <c r="G14" s="6" t="n">
        <f aca="false">IF(AND(E14&gt;=3,E14&lt;=20),ROUND(C14*(1-D14)*(1/E14),0),0)</f>
        <v>28</v>
      </c>
      <c r="H14" s="6" t="str">
        <f aca="false">IF(F14="Brand","Brand — already winning",IF(AND(E14&lt;=10,D14&lt;0.02,C14&gt;=200),"Ranks page 1 but no clicks → fix title/meta",IF(AND(E14&gt;10,E14&lt;=20,C14&gt;=200),"Page 2 → deepen content / add article",IF(E14&gt;20,"Weak — needs dedicated page","OK"))))</f>
        <v>Brand — already winning</v>
      </c>
    </row>
    <row r="15" customFormat="false" ht="15" hidden="false" customHeight="false" outlineLevel="0" collapsed="false">
      <c r="A15" s="6" t="s">
        <v>60</v>
      </c>
      <c r="B15" s="6" t="n">
        <v>13</v>
      </c>
      <c r="C15" s="6" t="n">
        <v>120</v>
      </c>
      <c r="D15" s="7" t="n">
        <v>0.1083</v>
      </c>
      <c r="E15" s="8" t="n">
        <v>3.41</v>
      </c>
      <c r="F15" s="6" t="s">
        <v>61</v>
      </c>
      <c r="G15" s="6" t="n">
        <f aca="false">IF(AND(E15&gt;=3,E15&lt;=20),ROUND(C15*(1-D15)*(1/E15),0),0)</f>
        <v>31</v>
      </c>
      <c r="H15" s="6" t="str">
        <f aca="false">IF(F15="Brand","Brand — already winning",IF(AND(E15&lt;=10,D15&lt;0.02,C15&gt;=200),"Ranks page 1 but no clicks → fix title/meta",IF(AND(E15&gt;10,E15&lt;=20,C15&gt;=200),"Page 2 → deepen content / add article",IF(E15&gt;20,"Weak — needs dedicated page","OK"))))</f>
        <v>OK</v>
      </c>
    </row>
    <row r="16" customFormat="false" ht="15" hidden="false" customHeight="false" outlineLevel="0" collapsed="false">
      <c r="A16" s="6" t="s">
        <v>62</v>
      </c>
      <c r="B16" s="6" t="n">
        <v>13</v>
      </c>
      <c r="C16" s="6" t="n">
        <v>93</v>
      </c>
      <c r="D16" s="7" t="n">
        <v>0.1398</v>
      </c>
      <c r="E16" s="8" t="n">
        <v>6.46</v>
      </c>
      <c r="F16" s="6" t="s">
        <v>63</v>
      </c>
      <c r="G16" s="6" t="n">
        <f aca="false">IF(AND(E16&gt;=3,E16&lt;=20),ROUND(C16*(1-D16)*(1/E16),0),0)</f>
        <v>12</v>
      </c>
      <c r="H16" s="6" t="str">
        <f aca="false">IF(F16="Brand","Brand — already winning",IF(AND(E16&lt;=10,D16&lt;0.02,C16&gt;=200),"Ranks page 1 but no clicks → fix title/meta",IF(AND(E16&gt;10,E16&lt;=20,C16&gt;=200),"Page 2 → deepen content / add article",IF(E16&gt;20,"Weak — needs dedicated page","OK"))))</f>
        <v>OK</v>
      </c>
    </row>
    <row r="17" customFormat="false" ht="15" hidden="false" customHeight="false" outlineLevel="0" collapsed="false">
      <c r="A17" s="6" t="s">
        <v>64</v>
      </c>
      <c r="B17" s="6" t="n">
        <v>11</v>
      </c>
      <c r="C17" s="6" t="n">
        <v>83</v>
      </c>
      <c r="D17" s="7" t="n">
        <v>0.1325</v>
      </c>
      <c r="E17" s="8" t="n">
        <v>4.59</v>
      </c>
      <c r="F17" s="6" t="s">
        <v>65</v>
      </c>
      <c r="G17" s="6" t="n">
        <f aca="false">IF(AND(E17&gt;=3,E17&lt;=20),ROUND(C17*(1-D17)*(1/E17),0),0)</f>
        <v>16</v>
      </c>
      <c r="H17" s="6" t="str">
        <f aca="false">IF(F17="Brand","Brand — already winning",IF(AND(E17&lt;=10,D17&lt;0.02,C17&gt;=200),"Ranks page 1 but no clicks → fix title/meta",IF(AND(E17&gt;10,E17&lt;=20,C17&gt;=200),"Page 2 → deepen content / add article",IF(E17&gt;20,"Weak — needs dedicated page","OK"))))</f>
        <v>OK</v>
      </c>
    </row>
    <row r="18" customFormat="false" ht="15" hidden="false" customHeight="false" outlineLevel="0" collapsed="false">
      <c r="A18" s="6" t="s">
        <v>66</v>
      </c>
      <c r="B18" s="6" t="n">
        <v>10</v>
      </c>
      <c r="C18" s="6" t="n">
        <v>1253</v>
      </c>
      <c r="D18" s="7" t="n">
        <v>0.008</v>
      </c>
      <c r="E18" s="8" t="n">
        <v>9.52</v>
      </c>
      <c r="F18" s="6" t="s">
        <v>48</v>
      </c>
      <c r="G18" s="6" t="n">
        <f aca="false">IF(AND(E18&gt;=3,E18&lt;=20),ROUND(C18*(1-D18)*(1/E18),0),0)</f>
        <v>131</v>
      </c>
      <c r="H18" s="6" t="str">
        <f aca="false">IF(F18="Brand","Brand — already winning",IF(AND(E18&lt;=10,D18&lt;0.02,C18&gt;=200),"Ranks page 1 but no clicks → fix title/meta",IF(AND(E18&gt;10,E18&lt;=20,C18&gt;=200),"Page 2 → deepen content / add article",IF(E18&gt;20,"Weak — needs dedicated page","OK"))))</f>
        <v>Ranks page 1 but no clicks → fix title/meta</v>
      </c>
    </row>
    <row r="19" customFormat="false" ht="15" hidden="false" customHeight="false" outlineLevel="0" collapsed="false">
      <c r="A19" s="6" t="s">
        <v>67</v>
      </c>
      <c r="B19" s="6" t="n">
        <v>10</v>
      </c>
      <c r="C19" s="6" t="n">
        <v>118</v>
      </c>
      <c r="D19" s="7" t="n">
        <v>0.0847</v>
      </c>
      <c r="E19" s="8" t="n">
        <v>8.07</v>
      </c>
      <c r="F19" s="6" t="s">
        <v>68</v>
      </c>
      <c r="G19" s="6" t="n">
        <f aca="false">IF(AND(E19&gt;=3,E19&lt;=20),ROUND(C19*(1-D19)*(1/E19),0),0)</f>
        <v>13</v>
      </c>
      <c r="H19" s="6" t="str">
        <f aca="false">IF(F19="Brand","Brand — already winning",IF(AND(E19&lt;=10,D19&lt;0.02,C19&gt;=200),"Ranks page 1 but no clicks → fix title/meta",IF(AND(E19&gt;10,E19&lt;=20,C19&gt;=200),"Page 2 → deepen content / add article",IF(E19&gt;20,"Weak — needs dedicated page","OK"))))</f>
        <v>OK</v>
      </c>
    </row>
    <row r="20" customFormat="false" ht="15" hidden="false" customHeight="false" outlineLevel="0" collapsed="false">
      <c r="A20" s="6" t="s">
        <v>69</v>
      </c>
      <c r="B20" s="6" t="n">
        <v>9</v>
      </c>
      <c r="C20" s="6" t="n">
        <v>83</v>
      </c>
      <c r="D20" s="7" t="n">
        <v>0.1084</v>
      </c>
      <c r="E20" s="8" t="n">
        <v>7.76</v>
      </c>
      <c r="F20" s="6" t="s">
        <v>68</v>
      </c>
      <c r="G20" s="6" t="n">
        <f aca="false">IF(AND(E20&gt;=3,E20&lt;=20),ROUND(C20*(1-D20)*(1/E20),0),0)</f>
        <v>10</v>
      </c>
      <c r="H20" s="6" t="str">
        <f aca="false">IF(F20="Brand","Brand — already winning",IF(AND(E20&lt;=10,D20&lt;0.02,C20&gt;=200),"Ranks page 1 but no clicks → fix title/meta",IF(AND(E20&gt;10,E20&lt;=20,C20&gt;=200),"Page 2 → deepen content / add article",IF(E20&gt;20,"Weak — needs dedicated page","OK"))))</f>
        <v>OK</v>
      </c>
    </row>
    <row r="21" customFormat="false" ht="15" hidden="false" customHeight="false" outlineLevel="0" collapsed="false">
      <c r="A21" s="6" t="s">
        <v>70</v>
      </c>
      <c r="B21" s="6" t="n">
        <v>9</v>
      </c>
      <c r="C21" s="6" t="n">
        <v>56</v>
      </c>
      <c r="D21" s="7" t="n">
        <v>0.1607</v>
      </c>
      <c r="E21" s="8" t="n">
        <v>7.64</v>
      </c>
      <c r="F21" s="6" t="s">
        <v>71</v>
      </c>
      <c r="G21" s="6" t="n">
        <f aca="false">IF(AND(E21&gt;=3,E21&lt;=20),ROUND(C21*(1-D21)*(1/E21),0),0)</f>
        <v>6</v>
      </c>
      <c r="H21" s="6" t="str">
        <f aca="false">IF(F21="Brand","Brand — already winning",IF(AND(E21&lt;=10,D21&lt;0.02,C21&gt;=200),"Ranks page 1 but no clicks → fix title/meta",IF(AND(E21&gt;10,E21&lt;=20,C21&gt;=200),"Page 2 → deepen content / add article",IF(E21&gt;20,"Weak — needs dedicated page","OK"))))</f>
        <v>OK</v>
      </c>
    </row>
    <row r="22" customFormat="false" ht="15" hidden="false" customHeight="false" outlineLevel="0" collapsed="false">
      <c r="A22" s="6" t="s">
        <v>72</v>
      </c>
      <c r="B22" s="6" t="n">
        <v>9</v>
      </c>
      <c r="C22" s="6" t="n">
        <v>51</v>
      </c>
      <c r="D22" s="7" t="n">
        <v>0.1765</v>
      </c>
      <c r="E22" s="8" t="n">
        <v>2.57</v>
      </c>
      <c r="F22" s="6" t="s">
        <v>56</v>
      </c>
      <c r="G22" s="6" t="n">
        <f aca="false">IF(AND(E22&gt;=3,E22&lt;=20),ROUND(C22*(1-D22)*(1/E22),0),0)</f>
        <v>0</v>
      </c>
      <c r="H22" s="6" t="str">
        <f aca="false">IF(F22="Brand","Brand — already winning",IF(AND(E22&lt;=10,D22&lt;0.02,C22&gt;=200),"Ranks page 1 but no clicks → fix title/meta",IF(AND(E22&gt;10,E22&lt;=20,C22&gt;=200),"Page 2 → deepen content / add article",IF(E22&gt;20,"Weak — needs dedicated page","OK"))))</f>
        <v>OK</v>
      </c>
    </row>
    <row r="23" customFormat="false" ht="15" hidden="false" customHeight="false" outlineLevel="0" collapsed="false">
      <c r="A23" s="6" t="s">
        <v>73</v>
      </c>
      <c r="B23" s="6" t="n">
        <v>9</v>
      </c>
      <c r="C23" s="6" t="n">
        <v>50</v>
      </c>
      <c r="D23" s="7" t="n">
        <v>0.18</v>
      </c>
      <c r="E23" s="8" t="n">
        <v>7.34</v>
      </c>
      <c r="F23" s="6" t="s">
        <v>61</v>
      </c>
      <c r="G23" s="6" t="n">
        <f aca="false">IF(AND(E23&gt;=3,E23&lt;=20),ROUND(C23*(1-D23)*(1/E23),0),0)</f>
        <v>6</v>
      </c>
      <c r="H23" s="6" t="str">
        <f aca="false">IF(F23="Brand","Brand — already winning",IF(AND(E23&lt;=10,D23&lt;0.02,C23&gt;=200),"Ranks page 1 but no clicks → fix title/meta",IF(AND(E23&gt;10,E23&lt;=20,C23&gt;=200),"Page 2 → deepen content / add article",IF(E23&gt;20,"Weak — needs dedicated page","OK"))))</f>
        <v>OK</v>
      </c>
    </row>
    <row r="24" customFormat="false" ht="15" hidden="false" customHeight="false" outlineLevel="0" collapsed="false">
      <c r="A24" s="6" t="s">
        <v>74</v>
      </c>
      <c r="B24" s="6" t="n">
        <v>8</v>
      </c>
      <c r="C24" s="6" t="n">
        <v>364</v>
      </c>
      <c r="D24" s="7" t="n">
        <v>0.022</v>
      </c>
      <c r="E24" s="8" t="n">
        <v>6.03</v>
      </c>
      <c r="F24" s="6" t="s">
        <v>48</v>
      </c>
      <c r="G24" s="6" t="n">
        <f aca="false">IF(AND(E24&gt;=3,E24&lt;=20),ROUND(C24*(1-D24)*(1/E24),0),0)</f>
        <v>59</v>
      </c>
      <c r="H24" s="6" t="str">
        <f aca="false">IF(F24="Brand","Brand — already winning",IF(AND(E24&lt;=10,D24&lt;0.02,C24&gt;=200),"Ranks page 1 but no clicks → fix title/meta",IF(AND(E24&gt;10,E24&lt;=20,C24&gt;=200),"Page 2 → deepen content / add article",IF(E24&gt;20,"Weak — needs dedicated page","OK"))))</f>
        <v>OK</v>
      </c>
    </row>
    <row r="25" customFormat="false" ht="15" hidden="false" customHeight="false" outlineLevel="0" collapsed="false">
      <c r="A25" s="6" t="s">
        <v>75</v>
      </c>
      <c r="B25" s="6" t="n">
        <v>7</v>
      </c>
      <c r="C25" s="6" t="n">
        <v>4798</v>
      </c>
      <c r="D25" s="7" t="n">
        <v>0.0015</v>
      </c>
      <c r="E25" s="8" t="n">
        <v>12.31</v>
      </c>
      <c r="F25" s="6" t="s">
        <v>48</v>
      </c>
      <c r="G25" s="6" t="n">
        <f aca="false">IF(AND(E25&gt;=3,E25&lt;=20),ROUND(C25*(1-D25)*(1/E25),0),0)</f>
        <v>389</v>
      </c>
      <c r="H25" s="6" t="str">
        <f aca="false">IF(F25="Brand","Brand — already winning",IF(AND(E25&lt;=10,D25&lt;0.02,C25&gt;=200),"Ranks page 1 but no clicks → fix title/meta",IF(AND(E25&gt;10,E25&lt;=20,C25&gt;=200),"Page 2 → deepen content / add article",IF(E25&gt;20,"Weak — needs dedicated page","OK"))))</f>
        <v>Page 2 → deepen content / add article</v>
      </c>
    </row>
    <row r="26" customFormat="false" ht="15" hidden="false" customHeight="false" outlineLevel="0" collapsed="false">
      <c r="A26" s="6" t="s">
        <v>76</v>
      </c>
      <c r="B26" s="6" t="n">
        <v>7</v>
      </c>
      <c r="C26" s="6" t="n">
        <v>92</v>
      </c>
      <c r="D26" s="7" t="n">
        <v>0.0761</v>
      </c>
      <c r="E26" s="8" t="n">
        <v>6.55</v>
      </c>
      <c r="F26" s="6" t="s">
        <v>54</v>
      </c>
      <c r="G26" s="6" t="n">
        <f aca="false">IF(AND(E26&gt;=3,E26&lt;=20),ROUND(C26*(1-D26)*(1/E26),0),0)</f>
        <v>13</v>
      </c>
      <c r="H26" s="6" t="str">
        <f aca="false">IF(F26="Brand","Brand — already winning",IF(AND(E26&lt;=10,D26&lt;0.02,C26&gt;=200),"Ranks page 1 but no clicks → fix title/meta",IF(AND(E26&gt;10,E26&lt;=20,C26&gt;=200),"Page 2 → deepen content / add article",IF(E26&gt;20,"Weak — needs dedicated page","OK"))))</f>
        <v>OK</v>
      </c>
    </row>
    <row r="27" customFormat="false" ht="15" hidden="false" customHeight="false" outlineLevel="0" collapsed="false">
      <c r="A27" s="6" t="s">
        <v>77</v>
      </c>
      <c r="B27" s="6" t="n">
        <v>6</v>
      </c>
      <c r="C27" s="6" t="n">
        <v>289</v>
      </c>
      <c r="D27" s="7" t="n">
        <v>0.0208</v>
      </c>
      <c r="E27" s="8" t="n">
        <v>7.28</v>
      </c>
      <c r="F27" s="6" t="s">
        <v>78</v>
      </c>
      <c r="G27" s="6" t="n">
        <f aca="false">IF(AND(E27&gt;=3,E27&lt;=20),ROUND(C27*(1-D27)*(1/E27),0),0)</f>
        <v>39</v>
      </c>
      <c r="H27" s="6" t="str">
        <f aca="false">IF(F27="Brand","Brand — already winning",IF(AND(E27&lt;=10,D27&lt;0.02,C27&gt;=200),"Ranks page 1 but no clicks → fix title/meta",IF(AND(E27&gt;10,E27&lt;=20,C27&gt;=200),"Page 2 → deepen content / add article",IF(E27&gt;20,"Weak — needs dedicated page","OK"))))</f>
        <v>OK</v>
      </c>
    </row>
    <row r="28" customFormat="false" ht="15" hidden="false" customHeight="false" outlineLevel="0" collapsed="false">
      <c r="A28" s="6" t="s">
        <v>79</v>
      </c>
      <c r="B28" s="6" t="n">
        <v>6</v>
      </c>
      <c r="C28" s="6" t="n">
        <v>201</v>
      </c>
      <c r="D28" s="7" t="n">
        <v>0.0299</v>
      </c>
      <c r="E28" s="8" t="n">
        <v>9.5</v>
      </c>
      <c r="F28" s="6" t="s">
        <v>43</v>
      </c>
      <c r="G28" s="6" t="n">
        <f aca="false">IF(AND(E28&gt;=3,E28&lt;=20),ROUND(C28*(1-D28)*(1/E28),0),0)</f>
        <v>21</v>
      </c>
      <c r="H28" s="6" t="str">
        <f aca="false">IF(F28="Brand","Brand — already winning",IF(AND(E28&lt;=10,D28&lt;0.02,C28&gt;=200),"Ranks page 1 but no clicks → fix title/meta",IF(AND(E28&gt;10,E28&lt;=20,C28&gt;=200),"Page 2 → deepen content / add article",IF(E28&gt;20,"Weak — needs dedicated page","OK"))))</f>
        <v>Brand — already winning</v>
      </c>
    </row>
    <row r="29" customFormat="false" ht="15" hidden="false" customHeight="false" outlineLevel="0" collapsed="false">
      <c r="A29" s="6" t="s">
        <v>80</v>
      </c>
      <c r="B29" s="6" t="n">
        <v>6</v>
      </c>
      <c r="C29" s="6" t="n">
        <v>39</v>
      </c>
      <c r="D29" s="7" t="n">
        <v>0.1538</v>
      </c>
      <c r="E29" s="8" t="n">
        <v>7.13</v>
      </c>
      <c r="F29" s="6" t="s">
        <v>78</v>
      </c>
      <c r="G29" s="6" t="n">
        <f aca="false">IF(AND(E29&gt;=3,E29&lt;=20),ROUND(C29*(1-D29)*(1/E29),0),0)</f>
        <v>5</v>
      </c>
      <c r="H29" s="6" t="str">
        <f aca="false">IF(F29="Brand","Brand — already winning",IF(AND(E29&lt;=10,D29&lt;0.02,C29&gt;=200),"Ranks page 1 but no clicks → fix title/meta",IF(AND(E29&gt;10,E29&lt;=20,C29&gt;=200),"Page 2 → deepen content / add article",IF(E29&gt;20,"Weak — needs dedicated page","OK"))))</f>
        <v>OK</v>
      </c>
    </row>
    <row r="30" customFormat="false" ht="15" hidden="false" customHeight="false" outlineLevel="0" collapsed="false">
      <c r="A30" s="6" t="s">
        <v>81</v>
      </c>
      <c r="B30" s="6" t="n">
        <v>6</v>
      </c>
      <c r="C30" s="6" t="n">
        <v>37</v>
      </c>
      <c r="D30" s="7" t="n">
        <v>0.1622</v>
      </c>
      <c r="E30" s="8" t="n">
        <v>2.57</v>
      </c>
      <c r="F30" s="6" t="s">
        <v>43</v>
      </c>
      <c r="G30" s="6" t="n">
        <f aca="false">IF(AND(E30&gt;=3,E30&lt;=20),ROUND(C30*(1-D30)*(1/E30),0),0)</f>
        <v>0</v>
      </c>
      <c r="H30" s="6" t="str">
        <f aca="false">IF(F30="Brand","Brand — already winning",IF(AND(E30&lt;=10,D30&lt;0.02,C30&gt;=200),"Ranks page 1 but no clicks → fix title/meta",IF(AND(E30&gt;10,E30&lt;=20,C30&gt;=200),"Page 2 → deepen content / add article",IF(E30&gt;20,"Weak — needs dedicated page","OK"))))</f>
        <v>Brand — already winning</v>
      </c>
    </row>
    <row r="31" customFormat="false" ht="15" hidden="false" customHeight="false" outlineLevel="0" collapsed="false">
      <c r="A31" s="6" t="s">
        <v>82</v>
      </c>
      <c r="B31" s="6" t="n">
        <v>6</v>
      </c>
      <c r="C31" s="6" t="n">
        <v>12</v>
      </c>
      <c r="D31" s="7" t="n">
        <v>0.5</v>
      </c>
      <c r="E31" s="8" t="n">
        <v>1</v>
      </c>
      <c r="F31" s="6" t="s">
        <v>43</v>
      </c>
      <c r="G31" s="6" t="n">
        <f aca="false">IF(AND(E31&gt;=3,E31&lt;=20),ROUND(C31*(1-D31)*(1/E31),0),0)</f>
        <v>0</v>
      </c>
      <c r="H31" s="6" t="str">
        <f aca="false">IF(F31="Brand","Brand — already winning",IF(AND(E31&lt;=10,D31&lt;0.02,C31&gt;=200),"Ranks page 1 but no clicks → fix title/meta",IF(AND(E31&gt;10,E31&lt;=20,C31&gt;=200),"Page 2 → deepen content / add article",IF(E31&gt;20,"Weak — needs dedicated page","OK"))))</f>
        <v>Brand — already winning</v>
      </c>
    </row>
    <row r="32" customFormat="false" ht="15" hidden="false" customHeight="false" outlineLevel="0" collapsed="false">
      <c r="A32" s="6" t="s">
        <v>83</v>
      </c>
      <c r="B32" s="6" t="n">
        <v>5</v>
      </c>
      <c r="C32" s="6" t="n">
        <v>1375</v>
      </c>
      <c r="D32" s="7" t="n">
        <v>0.0036</v>
      </c>
      <c r="E32" s="8" t="n">
        <v>12.91</v>
      </c>
      <c r="F32" s="6" t="s">
        <v>48</v>
      </c>
      <c r="G32" s="6" t="n">
        <f aca="false">IF(AND(E32&gt;=3,E32&lt;=20),ROUND(C32*(1-D32)*(1/E32),0),0)</f>
        <v>106</v>
      </c>
      <c r="H32" s="6" t="str">
        <f aca="false">IF(F32="Brand","Brand — already winning",IF(AND(E32&lt;=10,D32&lt;0.02,C32&gt;=200),"Ranks page 1 but no clicks → fix title/meta",IF(AND(E32&gt;10,E32&lt;=20,C32&gt;=200),"Page 2 → deepen content / add article",IF(E32&gt;20,"Weak — needs dedicated page","OK"))))</f>
        <v>Page 2 → deepen content / add article</v>
      </c>
    </row>
    <row r="33" customFormat="false" ht="15" hidden="false" customHeight="false" outlineLevel="0" collapsed="false">
      <c r="A33" s="6" t="s">
        <v>84</v>
      </c>
      <c r="B33" s="6" t="n">
        <v>5</v>
      </c>
      <c r="C33" s="6" t="n">
        <v>87</v>
      </c>
      <c r="D33" s="7" t="n">
        <v>0.0575</v>
      </c>
      <c r="E33" s="8" t="n">
        <v>8.75</v>
      </c>
      <c r="F33" s="6" t="s">
        <v>68</v>
      </c>
      <c r="G33" s="6" t="n">
        <f aca="false">IF(AND(E33&gt;=3,E33&lt;=20),ROUND(C33*(1-D33)*(1/E33),0),0)</f>
        <v>9</v>
      </c>
      <c r="H33" s="6" t="str">
        <f aca="false">IF(F33="Brand","Brand — already winning",IF(AND(E33&lt;=10,D33&lt;0.02,C33&gt;=200),"Ranks page 1 but no clicks → fix title/meta",IF(AND(E33&gt;10,E33&lt;=20,C33&gt;=200),"Page 2 → deepen content / add article",IF(E33&gt;20,"Weak — needs dedicated page","OK"))))</f>
        <v>OK</v>
      </c>
    </row>
    <row r="34" customFormat="false" ht="15" hidden="false" customHeight="false" outlineLevel="0" collapsed="false">
      <c r="A34" s="6" t="s">
        <v>85</v>
      </c>
      <c r="B34" s="6" t="n">
        <v>5</v>
      </c>
      <c r="C34" s="6" t="n">
        <v>70</v>
      </c>
      <c r="D34" s="7" t="n">
        <v>0.0714</v>
      </c>
      <c r="E34" s="8" t="n">
        <v>7.53</v>
      </c>
      <c r="F34" s="6" t="s">
        <v>63</v>
      </c>
      <c r="G34" s="6" t="n">
        <f aca="false">IF(AND(E34&gt;=3,E34&lt;=20),ROUND(C34*(1-D34)*(1/E34),0),0)</f>
        <v>9</v>
      </c>
      <c r="H34" s="6" t="str">
        <f aca="false">IF(F34="Brand","Brand — already winning",IF(AND(E34&lt;=10,D34&lt;0.02,C34&gt;=200),"Ranks page 1 but no clicks → fix title/meta",IF(AND(E34&gt;10,E34&lt;=20,C34&gt;=200),"Page 2 → deepen content / add article",IF(E34&gt;20,"Weak — needs dedicated page","OK"))))</f>
        <v>OK</v>
      </c>
    </row>
    <row r="35" customFormat="false" ht="15" hidden="false" customHeight="false" outlineLevel="0" collapsed="false">
      <c r="A35" s="6" t="s">
        <v>86</v>
      </c>
      <c r="B35" s="6" t="n">
        <v>5</v>
      </c>
      <c r="C35" s="6" t="n">
        <v>45</v>
      </c>
      <c r="D35" s="7" t="n">
        <v>0.1111</v>
      </c>
      <c r="E35" s="8" t="n">
        <v>8.91</v>
      </c>
      <c r="F35" s="6" t="s">
        <v>56</v>
      </c>
      <c r="G35" s="6" t="n">
        <f aca="false">IF(AND(E35&gt;=3,E35&lt;=20),ROUND(C35*(1-D35)*(1/E35),0),0)</f>
        <v>4</v>
      </c>
      <c r="H35" s="6" t="str">
        <f aca="false">IF(F35="Brand","Brand — already winning",IF(AND(E35&lt;=10,D35&lt;0.02,C35&gt;=200),"Ranks page 1 but no clicks → fix title/meta",IF(AND(E35&gt;10,E35&lt;=20,C35&gt;=200),"Page 2 → deepen content / add article",IF(E35&gt;20,"Weak — needs dedicated page","OK"))))</f>
        <v>OK</v>
      </c>
    </row>
    <row r="36" customFormat="false" ht="15" hidden="false" customHeight="false" outlineLevel="0" collapsed="false">
      <c r="A36" s="6" t="s">
        <v>87</v>
      </c>
      <c r="B36" s="6" t="n">
        <v>5</v>
      </c>
      <c r="C36" s="6" t="n">
        <v>32</v>
      </c>
      <c r="D36" s="7" t="n">
        <v>0.1562</v>
      </c>
      <c r="E36" s="8" t="n">
        <v>3.44</v>
      </c>
      <c r="F36" s="6" t="s">
        <v>88</v>
      </c>
      <c r="G36" s="6" t="n">
        <f aca="false">IF(AND(E36&gt;=3,E36&lt;=20),ROUND(C36*(1-D36)*(1/E36),0),0)</f>
        <v>8</v>
      </c>
      <c r="H36" s="6" t="str">
        <f aca="false">IF(F36="Brand","Brand — already winning",IF(AND(E36&lt;=10,D36&lt;0.02,C36&gt;=200),"Ranks page 1 but no clicks → fix title/meta",IF(AND(E36&gt;10,E36&lt;=20,C36&gt;=200),"Page 2 → deepen content / add article",IF(E36&gt;20,"Weak — needs dedicated page","OK"))))</f>
        <v>OK</v>
      </c>
    </row>
    <row r="37" customFormat="false" ht="15" hidden="false" customHeight="false" outlineLevel="0" collapsed="false">
      <c r="A37" s="6" t="s">
        <v>89</v>
      </c>
      <c r="B37" s="6" t="n">
        <v>4</v>
      </c>
      <c r="C37" s="6" t="n">
        <v>4184</v>
      </c>
      <c r="D37" s="7" t="n">
        <v>0.001</v>
      </c>
      <c r="E37" s="8" t="n">
        <v>5.27</v>
      </c>
      <c r="F37" s="6" t="s">
        <v>90</v>
      </c>
      <c r="G37" s="6" t="n">
        <f aca="false">IF(AND(E37&gt;=3,E37&lt;=20),ROUND(C37*(1-D37)*(1/E37),0),0)</f>
        <v>793</v>
      </c>
      <c r="H37" s="6" t="str">
        <f aca="false">IF(F37="Brand","Brand — already winning",IF(AND(E37&lt;=10,D37&lt;0.02,C37&gt;=200),"Ranks page 1 but no clicks → fix title/meta",IF(AND(E37&gt;10,E37&lt;=20,C37&gt;=200),"Page 2 → deepen content / add article",IF(E37&gt;20,"Weak — needs dedicated page","OK"))))</f>
        <v>Ranks page 1 but no clicks → fix title/meta</v>
      </c>
    </row>
    <row r="38" customFormat="false" ht="15" hidden="false" customHeight="false" outlineLevel="0" collapsed="false">
      <c r="A38" s="6" t="s">
        <v>91</v>
      </c>
      <c r="B38" s="6" t="n">
        <v>4</v>
      </c>
      <c r="C38" s="6" t="n">
        <v>724</v>
      </c>
      <c r="D38" s="7" t="n">
        <v>0.0055</v>
      </c>
      <c r="E38" s="8" t="n">
        <v>6.42</v>
      </c>
      <c r="F38" s="6" t="s">
        <v>48</v>
      </c>
      <c r="G38" s="6" t="n">
        <f aca="false">IF(AND(E38&gt;=3,E38&lt;=20),ROUND(C38*(1-D38)*(1/E38),0),0)</f>
        <v>112</v>
      </c>
      <c r="H38" s="6" t="str">
        <f aca="false">IF(F38="Brand","Brand — already winning",IF(AND(E38&lt;=10,D38&lt;0.02,C38&gt;=200),"Ranks page 1 but no clicks → fix title/meta",IF(AND(E38&gt;10,E38&lt;=20,C38&gt;=200),"Page 2 → deepen content / add article",IF(E38&gt;20,"Weak — needs dedicated page","OK"))))</f>
        <v>Ranks page 1 but no clicks → fix title/meta</v>
      </c>
    </row>
    <row r="39" customFormat="false" ht="15" hidden="false" customHeight="false" outlineLevel="0" collapsed="false">
      <c r="A39" s="6" t="s">
        <v>92</v>
      </c>
      <c r="B39" s="6" t="n">
        <v>4</v>
      </c>
      <c r="C39" s="6" t="n">
        <v>432</v>
      </c>
      <c r="D39" s="7" t="n">
        <v>0.0093</v>
      </c>
      <c r="E39" s="8" t="n">
        <v>19.25</v>
      </c>
      <c r="F39" s="6" t="s">
        <v>48</v>
      </c>
      <c r="G39" s="6" t="n">
        <f aca="false">IF(AND(E39&gt;=3,E39&lt;=20),ROUND(C39*(1-D39)*(1/E39),0),0)</f>
        <v>22</v>
      </c>
      <c r="H39" s="6" t="str">
        <f aca="false">IF(F39="Brand","Brand — already winning",IF(AND(E39&lt;=10,D39&lt;0.02,C39&gt;=200),"Ranks page 1 but no clicks → fix title/meta",IF(AND(E39&gt;10,E39&lt;=20,C39&gt;=200),"Page 2 → deepen content / add article",IF(E39&gt;20,"Weak — needs dedicated page","OK"))))</f>
        <v>Page 2 → deepen content / add article</v>
      </c>
    </row>
    <row r="40" customFormat="false" ht="15" hidden="false" customHeight="false" outlineLevel="0" collapsed="false">
      <c r="A40" s="6" t="s">
        <v>93</v>
      </c>
      <c r="B40" s="6" t="n">
        <v>4</v>
      </c>
      <c r="C40" s="6" t="n">
        <v>110</v>
      </c>
      <c r="D40" s="7" t="n">
        <v>0.0364</v>
      </c>
      <c r="E40" s="8" t="n">
        <v>8.39</v>
      </c>
      <c r="F40" s="6" t="s">
        <v>54</v>
      </c>
      <c r="G40" s="6" t="n">
        <f aca="false">IF(AND(E40&gt;=3,E40&lt;=20),ROUND(C40*(1-D40)*(1/E40),0),0)</f>
        <v>13</v>
      </c>
      <c r="H40" s="6" t="str">
        <f aca="false">IF(F40="Brand","Brand — already winning",IF(AND(E40&lt;=10,D40&lt;0.02,C40&gt;=200),"Ranks page 1 but no clicks → fix title/meta",IF(AND(E40&gt;10,E40&lt;=20,C40&gt;=200),"Page 2 → deepen content / add article",IF(E40&gt;20,"Weak — needs dedicated page","OK"))))</f>
        <v>OK</v>
      </c>
    </row>
    <row r="41" customFormat="false" ht="15" hidden="false" customHeight="false" outlineLevel="0" collapsed="false">
      <c r="A41" s="6" t="s">
        <v>94</v>
      </c>
      <c r="B41" s="6" t="n">
        <v>4</v>
      </c>
      <c r="C41" s="6" t="n">
        <v>107</v>
      </c>
      <c r="D41" s="7" t="n">
        <v>0.0374</v>
      </c>
      <c r="E41" s="8" t="n">
        <v>4.93</v>
      </c>
      <c r="F41" s="6" t="s">
        <v>95</v>
      </c>
      <c r="G41" s="6" t="n">
        <f aca="false">IF(AND(E41&gt;=3,E41&lt;=20),ROUND(C41*(1-D41)*(1/E41),0),0)</f>
        <v>21</v>
      </c>
      <c r="H41" s="6" t="str">
        <f aca="false">IF(F41="Brand","Brand — already winning",IF(AND(E41&lt;=10,D41&lt;0.02,C41&gt;=200),"Ranks page 1 but no clicks → fix title/meta",IF(AND(E41&gt;10,E41&lt;=20,C41&gt;=200),"Page 2 → deepen content / add article",IF(E41&gt;20,"Weak — needs dedicated page","OK"))))</f>
        <v>OK</v>
      </c>
    </row>
    <row r="42" customFormat="false" ht="15" hidden="false" customHeight="false" outlineLevel="0" collapsed="false">
      <c r="A42" s="6" t="s">
        <v>96</v>
      </c>
      <c r="B42" s="6" t="n">
        <v>4</v>
      </c>
      <c r="C42" s="6" t="n">
        <v>76</v>
      </c>
      <c r="D42" s="7" t="n">
        <v>0.0526</v>
      </c>
      <c r="E42" s="8" t="n">
        <v>1.47</v>
      </c>
      <c r="F42" s="6" t="s">
        <v>43</v>
      </c>
      <c r="G42" s="6" t="n">
        <f aca="false">IF(AND(E42&gt;=3,E42&lt;=20),ROUND(C42*(1-D42)*(1/E42),0),0)</f>
        <v>0</v>
      </c>
      <c r="H42" s="6" t="str">
        <f aca="false">IF(F42="Brand","Brand — already winning",IF(AND(E42&lt;=10,D42&lt;0.02,C42&gt;=200),"Ranks page 1 but no clicks → fix title/meta",IF(AND(E42&gt;10,E42&lt;=20,C42&gt;=200),"Page 2 → deepen content / add article",IF(E42&gt;20,"Weak — needs dedicated page","OK"))))</f>
        <v>Brand — already winning</v>
      </c>
    </row>
    <row r="43" customFormat="false" ht="15" hidden="false" customHeight="false" outlineLevel="0" collapsed="false">
      <c r="A43" s="6" t="s">
        <v>97</v>
      </c>
      <c r="B43" s="6" t="n">
        <v>4</v>
      </c>
      <c r="C43" s="6" t="n">
        <v>72</v>
      </c>
      <c r="D43" s="7" t="n">
        <v>0.0556</v>
      </c>
      <c r="E43" s="8" t="n">
        <v>3.14</v>
      </c>
      <c r="F43" s="6" t="s">
        <v>48</v>
      </c>
      <c r="G43" s="6" t="n">
        <f aca="false">IF(AND(E43&gt;=3,E43&lt;=20),ROUND(C43*(1-D43)*(1/E43),0),0)</f>
        <v>22</v>
      </c>
      <c r="H43" s="6" t="str">
        <f aca="false">IF(F43="Brand","Brand — already winning",IF(AND(E43&lt;=10,D43&lt;0.02,C43&gt;=200),"Ranks page 1 but no clicks → fix title/meta",IF(AND(E43&gt;10,E43&lt;=20,C43&gt;=200),"Page 2 → deepen content / add article",IF(E43&gt;20,"Weak — needs dedicated page","OK"))))</f>
        <v>OK</v>
      </c>
    </row>
    <row r="44" customFormat="false" ht="15" hidden="false" customHeight="false" outlineLevel="0" collapsed="false">
      <c r="A44" s="6" t="s">
        <v>98</v>
      </c>
      <c r="B44" s="6" t="n">
        <v>4</v>
      </c>
      <c r="C44" s="6" t="n">
        <v>48</v>
      </c>
      <c r="D44" s="7" t="n">
        <v>0.0833</v>
      </c>
      <c r="E44" s="8" t="n">
        <v>4.02</v>
      </c>
      <c r="F44" s="6" t="s">
        <v>99</v>
      </c>
      <c r="G44" s="6" t="n">
        <f aca="false">IF(AND(E44&gt;=3,E44&lt;=20),ROUND(C44*(1-D44)*(1/E44),0),0)</f>
        <v>11</v>
      </c>
      <c r="H44" s="6" t="str">
        <f aca="false">IF(F44="Brand","Brand — already winning",IF(AND(E44&lt;=10,D44&lt;0.02,C44&gt;=200),"Ranks page 1 but no clicks → fix title/meta",IF(AND(E44&gt;10,E44&lt;=20,C44&gt;=200),"Page 2 → deepen content / add article",IF(E44&gt;20,"Weak — needs dedicated page","OK"))))</f>
        <v>OK</v>
      </c>
    </row>
    <row r="45" customFormat="false" ht="15" hidden="false" customHeight="false" outlineLevel="0" collapsed="false">
      <c r="A45" s="6" t="s">
        <v>100</v>
      </c>
      <c r="B45" s="6" t="n">
        <v>4</v>
      </c>
      <c r="C45" s="6" t="n">
        <v>27</v>
      </c>
      <c r="D45" s="7" t="n">
        <v>0.1481</v>
      </c>
      <c r="E45" s="8" t="n">
        <v>2.89</v>
      </c>
      <c r="F45" s="6" t="s">
        <v>56</v>
      </c>
      <c r="G45" s="6" t="n">
        <f aca="false">IF(AND(E45&gt;=3,E45&lt;=20),ROUND(C45*(1-D45)*(1/E45),0),0)</f>
        <v>0</v>
      </c>
      <c r="H45" s="6" t="str">
        <f aca="false">IF(F45="Brand","Brand — already winning",IF(AND(E45&lt;=10,D45&lt;0.02,C45&gt;=200),"Ranks page 1 but no clicks → fix title/meta",IF(AND(E45&gt;10,E45&lt;=20,C45&gt;=200),"Page 2 → deepen content / add article",IF(E45&gt;20,"Weak — needs dedicated page","OK"))))</f>
        <v>OK</v>
      </c>
    </row>
    <row r="46" customFormat="false" ht="15" hidden="false" customHeight="false" outlineLevel="0" collapsed="false">
      <c r="A46" s="6" t="s">
        <v>101</v>
      </c>
      <c r="B46" s="6" t="n">
        <v>4</v>
      </c>
      <c r="C46" s="6" t="n">
        <v>27</v>
      </c>
      <c r="D46" s="7" t="n">
        <v>0.1481</v>
      </c>
      <c r="E46" s="8" t="n">
        <v>5.48</v>
      </c>
      <c r="F46" s="6" t="s">
        <v>63</v>
      </c>
      <c r="G46" s="6" t="n">
        <f aca="false">IF(AND(E46&gt;=3,E46&lt;=20),ROUND(C46*(1-D46)*(1/E46),0),0)</f>
        <v>4</v>
      </c>
      <c r="H46" s="6" t="str">
        <f aca="false">IF(F46="Brand","Brand — already winning",IF(AND(E46&lt;=10,D46&lt;0.02,C46&gt;=200),"Ranks page 1 but no clicks → fix title/meta",IF(AND(E46&gt;10,E46&lt;=20,C46&gt;=200),"Page 2 → deepen content / add article",IF(E46&gt;20,"Weak — needs dedicated page","OK"))))</f>
        <v>OK</v>
      </c>
    </row>
    <row r="47" customFormat="false" ht="15" hidden="false" customHeight="false" outlineLevel="0" collapsed="false">
      <c r="A47" s="6" t="s">
        <v>102</v>
      </c>
      <c r="B47" s="6" t="n">
        <v>4</v>
      </c>
      <c r="C47" s="6" t="n">
        <v>24</v>
      </c>
      <c r="D47" s="7" t="n">
        <v>0.1667</v>
      </c>
      <c r="E47" s="8" t="n">
        <v>1</v>
      </c>
      <c r="F47" s="6" t="s">
        <v>43</v>
      </c>
      <c r="G47" s="6" t="n">
        <f aca="false">IF(AND(E47&gt;=3,E47&lt;=20),ROUND(C47*(1-D47)*(1/E47),0),0)</f>
        <v>0</v>
      </c>
      <c r="H47" s="6" t="str">
        <f aca="false">IF(F47="Brand","Brand — already winning",IF(AND(E47&lt;=10,D47&lt;0.02,C47&gt;=200),"Ranks page 1 but no clicks → fix title/meta",IF(AND(E47&gt;10,E47&lt;=20,C47&gt;=200),"Page 2 → deepen content / add article",IF(E47&gt;20,"Weak — needs dedicated page","OK"))))</f>
        <v>Brand — already winning</v>
      </c>
    </row>
    <row r="48" customFormat="false" ht="15" hidden="false" customHeight="false" outlineLevel="0" collapsed="false">
      <c r="A48" s="6" t="s">
        <v>103</v>
      </c>
      <c r="B48" s="6" t="n">
        <v>4</v>
      </c>
      <c r="C48" s="6" t="n">
        <v>10</v>
      </c>
      <c r="D48" s="7" t="n">
        <v>0.4</v>
      </c>
      <c r="E48" s="8" t="n">
        <v>1.2</v>
      </c>
      <c r="F48" s="6" t="s">
        <v>43</v>
      </c>
      <c r="G48" s="6" t="n">
        <f aca="false">IF(AND(E48&gt;=3,E48&lt;=20),ROUND(C48*(1-D48)*(1/E48),0),0)</f>
        <v>0</v>
      </c>
      <c r="H48" s="6" t="str">
        <f aca="false">IF(F48="Brand","Brand — already winning",IF(AND(E48&lt;=10,D48&lt;0.02,C48&gt;=200),"Ranks page 1 but no clicks → fix title/meta",IF(AND(E48&gt;10,E48&lt;=20,C48&gt;=200),"Page 2 → deepen content / add article",IF(E48&gt;20,"Weak — needs dedicated page","OK"))))</f>
        <v>Brand — already winning</v>
      </c>
    </row>
    <row r="49" customFormat="false" ht="15" hidden="false" customHeight="false" outlineLevel="0" collapsed="false">
      <c r="A49" s="6" t="s">
        <v>104</v>
      </c>
      <c r="B49" s="6" t="n">
        <v>4</v>
      </c>
      <c r="C49" s="6" t="n">
        <v>5</v>
      </c>
      <c r="D49" s="7" t="n">
        <v>0.8</v>
      </c>
      <c r="E49" s="8" t="n">
        <v>1</v>
      </c>
      <c r="F49" s="6" t="s">
        <v>43</v>
      </c>
      <c r="G49" s="6" t="n">
        <f aca="false">IF(AND(E49&gt;=3,E49&lt;=20),ROUND(C49*(1-D49)*(1/E49),0),0)</f>
        <v>0</v>
      </c>
      <c r="H49" s="6" t="str">
        <f aca="false">IF(F49="Brand","Brand — already winning",IF(AND(E49&lt;=10,D49&lt;0.02,C49&gt;=200),"Ranks page 1 but no clicks → fix title/meta",IF(AND(E49&gt;10,E49&lt;=20,C49&gt;=200),"Page 2 → deepen content / add article",IF(E49&gt;20,"Weak — needs dedicated page","OK"))))</f>
        <v>Brand — already winning</v>
      </c>
    </row>
    <row r="50" customFormat="false" ht="15" hidden="false" customHeight="false" outlineLevel="0" collapsed="false">
      <c r="A50" s="6" t="s">
        <v>105</v>
      </c>
      <c r="B50" s="6" t="n">
        <v>3</v>
      </c>
      <c r="C50" s="6" t="n">
        <v>1122</v>
      </c>
      <c r="D50" s="7" t="n">
        <v>0.0027</v>
      </c>
      <c r="E50" s="8" t="n">
        <v>3.05</v>
      </c>
      <c r="F50" s="6" t="s">
        <v>99</v>
      </c>
      <c r="G50" s="6" t="n">
        <f aca="false">IF(AND(E50&gt;=3,E50&lt;=20),ROUND(C50*(1-D50)*(1/E50),0),0)</f>
        <v>367</v>
      </c>
      <c r="H50" s="6" t="str">
        <f aca="false">IF(F50="Brand","Brand — already winning",IF(AND(E50&lt;=10,D50&lt;0.02,C50&gt;=200),"Ranks page 1 but no clicks → fix title/meta",IF(AND(E50&gt;10,E50&lt;=20,C50&gt;=200),"Page 2 → deepen content / add article",IF(E50&gt;20,"Weak — needs dedicated page","OK"))))</f>
        <v>Ranks page 1 but no clicks → fix title/meta</v>
      </c>
    </row>
    <row r="51" customFormat="false" ht="15" hidden="false" customHeight="false" outlineLevel="0" collapsed="false">
      <c r="A51" s="6" t="s">
        <v>106</v>
      </c>
      <c r="B51" s="6" t="n">
        <v>3</v>
      </c>
      <c r="C51" s="6" t="n">
        <v>287</v>
      </c>
      <c r="D51" s="7" t="n">
        <v>0.0105</v>
      </c>
      <c r="E51" s="8" t="n">
        <v>2.2</v>
      </c>
      <c r="F51" s="6" t="s">
        <v>58</v>
      </c>
      <c r="G51" s="6" t="n">
        <f aca="false">IF(AND(E51&gt;=3,E51&lt;=20),ROUND(C51*(1-D51)*(1/E51),0),0)</f>
        <v>0</v>
      </c>
      <c r="H51" s="6" t="str">
        <f aca="false">IF(F51="Brand","Brand — already winning",IF(AND(E51&lt;=10,D51&lt;0.02,C51&gt;=200),"Ranks page 1 but no clicks → fix title/meta",IF(AND(E51&gt;10,E51&lt;=20,C51&gt;=200),"Page 2 → deepen content / add article",IF(E51&gt;20,"Weak — needs dedicated page","OK"))))</f>
        <v>Ranks page 1 but no clicks → fix title/meta</v>
      </c>
    </row>
    <row r="52" customFormat="false" ht="15" hidden="false" customHeight="false" outlineLevel="0" collapsed="false">
      <c r="A52" s="6" t="s">
        <v>107</v>
      </c>
      <c r="B52" s="6" t="n">
        <v>3</v>
      </c>
      <c r="C52" s="6" t="n">
        <v>209</v>
      </c>
      <c r="D52" s="7" t="n">
        <v>0.0144</v>
      </c>
      <c r="E52" s="8" t="n">
        <v>9.95</v>
      </c>
      <c r="F52" s="6" t="s">
        <v>48</v>
      </c>
      <c r="G52" s="6" t="n">
        <f aca="false">IF(AND(E52&gt;=3,E52&lt;=20),ROUND(C52*(1-D52)*(1/E52),0),0)</f>
        <v>21</v>
      </c>
      <c r="H52" s="6" t="str">
        <f aca="false">IF(F52="Brand","Brand — already winning",IF(AND(E52&lt;=10,D52&lt;0.02,C52&gt;=200),"Ranks page 1 but no clicks → fix title/meta",IF(AND(E52&gt;10,E52&lt;=20,C52&gt;=200),"Page 2 → deepen content / add article",IF(E52&gt;20,"Weak — needs dedicated page","OK"))))</f>
        <v>Ranks page 1 but no clicks → fix title/meta</v>
      </c>
    </row>
    <row r="53" customFormat="false" ht="15" hidden="false" customHeight="false" outlineLevel="0" collapsed="false">
      <c r="A53" s="6" t="s">
        <v>108</v>
      </c>
      <c r="B53" s="6" t="n">
        <v>3</v>
      </c>
      <c r="C53" s="6" t="n">
        <v>198</v>
      </c>
      <c r="D53" s="7" t="n">
        <v>0.0152</v>
      </c>
      <c r="E53" s="8" t="n">
        <v>3.38</v>
      </c>
      <c r="F53" s="6" t="s">
        <v>48</v>
      </c>
      <c r="G53" s="6" t="n">
        <f aca="false">IF(AND(E53&gt;=3,E53&lt;=20),ROUND(C53*(1-D53)*(1/E53),0),0)</f>
        <v>58</v>
      </c>
      <c r="H53" s="6" t="str">
        <f aca="false">IF(F53="Brand","Brand — already winning",IF(AND(E53&lt;=10,D53&lt;0.02,C53&gt;=200),"Ranks page 1 but no clicks → fix title/meta",IF(AND(E53&gt;10,E53&lt;=20,C53&gt;=200),"Page 2 → deepen content / add article",IF(E53&gt;20,"Weak — needs dedicated page","OK"))))</f>
        <v>OK</v>
      </c>
    </row>
    <row r="54" customFormat="false" ht="15" hidden="false" customHeight="false" outlineLevel="0" collapsed="false">
      <c r="A54" s="6" t="s">
        <v>109</v>
      </c>
      <c r="B54" s="6" t="n">
        <v>3</v>
      </c>
      <c r="C54" s="6" t="n">
        <v>191</v>
      </c>
      <c r="D54" s="7" t="n">
        <v>0.0157</v>
      </c>
      <c r="E54" s="8" t="n">
        <v>8.52</v>
      </c>
      <c r="F54" s="6" t="s">
        <v>95</v>
      </c>
      <c r="G54" s="6" t="n">
        <f aca="false">IF(AND(E54&gt;=3,E54&lt;=20),ROUND(C54*(1-D54)*(1/E54),0),0)</f>
        <v>22</v>
      </c>
      <c r="H54" s="6" t="str">
        <f aca="false">IF(F54="Brand","Brand — already winning",IF(AND(E54&lt;=10,D54&lt;0.02,C54&gt;=200),"Ranks page 1 but no clicks → fix title/meta",IF(AND(E54&gt;10,E54&lt;=20,C54&gt;=200),"Page 2 → deepen content / add article",IF(E54&gt;20,"Weak — needs dedicated page","OK"))))</f>
        <v>OK</v>
      </c>
    </row>
    <row r="55" customFormat="false" ht="15" hidden="false" customHeight="false" outlineLevel="0" collapsed="false">
      <c r="A55" s="6" t="s">
        <v>110</v>
      </c>
      <c r="B55" s="6" t="n">
        <v>3</v>
      </c>
      <c r="C55" s="6" t="n">
        <v>147</v>
      </c>
      <c r="D55" s="7" t="n">
        <v>0.0204</v>
      </c>
      <c r="E55" s="8" t="n">
        <v>17.63</v>
      </c>
      <c r="F55" s="6" t="s">
        <v>56</v>
      </c>
      <c r="G55" s="6" t="n">
        <f aca="false">IF(AND(E55&gt;=3,E55&lt;=20),ROUND(C55*(1-D55)*(1/E55),0),0)</f>
        <v>8</v>
      </c>
      <c r="H55" s="6" t="str">
        <f aca="false">IF(F55="Brand","Brand — already winning",IF(AND(E55&lt;=10,D55&lt;0.02,C55&gt;=200),"Ranks page 1 but no clicks → fix title/meta",IF(AND(E55&gt;10,E55&lt;=20,C55&gt;=200),"Page 2 → deepen content / add article",IF(E55&gt;20,"Weak — needs dedicated page","OK"))))</f>
        <v>OK</v>
      </c>
    </row>
    <row r="56" customFormat="false" ht="15" hidden="false" customHeight="false" outlineLevel="0" collapsed="false">
      <c r="A56" s="6" t="s">
        <v>111</v>
      </c>
      <c r="B56" s="6" t="n">
        <v>3</v>
      </c>
      <c r="C56" s="6" t="n">
        <v>102</v>
      </c>
      <c r="D56" s="7" t="n">
        <v>0.0294</v>
      </c>
      <c r="E56" s="8" t="n">
        <v>7.96</v>
      </c>
      <c r="F56" s="6" t="s">
        <v>88</v>
      </c>
      <c r="G56" s="6" t="n">
        <f aca="false">IF(AND(E56&gt;=3,E56&lt;=20),ROUND(C56*(1-D56)*(1/E56),0),0)</f>
        <v>12</v>
      </c>
      <c r="H56" s="6" t="str">
        <f aca="false">IF(F56="Brand","Brand — already winning",IF(AND(E56&lt;=10,D56&lt;0.02,C56&gt;=200),"Ranks page 1 but no clicks → fix title/meta",IF(AND(E56&gt;10,E56&lt;=20,C56&gt;=200),"Page 2 → deepen content / add article",IF(E56&gt;20,"Weak — needs dedicated page","OK"))))</f>
        <v>OK</v>
      </c>
    </row>
    <row r="57" customFormat="false" ht="15" hidden="false" customHeight="false" outlineLevel="0" collapsed="false">
      <c r="A57" s="6" t="s">
        <v>112</v>
      </c>
      <c r="B57" s="6" t="n">
        <v>3</v>
      </c>
      <c r="C57" s="6" t="n">
        <v>93</v>
      </c>
      <c r="D57" s="7" t="n">
        <v>0.0323</v>
      </c>
      <c r="E57" s="8" t="n">
        <v>5.8</v>
      </c>
      <c r="F57" s="6" t="s">
        <v>56</v>
      </c>
      <c r="G57" s="6" t="n">
        <f aca="false">IF(AND(E57&gt;=3,E57&lt;=20),ROUND(C57*(1-D57)*(1/E57),0),0)</f>
        <v>16</v>
      </c>
      <c r="H57" s="6" t="str">
        <f aca="false">IF(F57="Brand","Brand — already winning",IF(AND(E57&lt;=10,D57&lt;0.02,C57&gt;=200),"Ranks page 1 but no clicks → fix title/meta",IF(AND(E57&gt;10,E57&lt;=20,C57&gt;=200),"Page 2 → deepen content / add article",IF(E57&gt;20,"Weak — needs dedicated page","OK"))))</f>
        <v>OK</v>
      </c>
    </row>
    <row r="58" customFormat="false" ht="15" hidden="false" customHeight="false" outlineLevel="0" collapsed="false">
      <c r="A58" s="6" t="s">
        <v>113</v>
      </c>
      <c r="B58" s="6" t="n">
        <v>3</v>
      </c>
      <c r="C58" s="6" t="n">
        <v>68</v>
      </c>
      <c r="D58" s="7" t="n">
        <v>0.0441</v>
      </c>
      <c r="E58" s="8" t="n">
        <v>4.81</v>
      </c>
      <c r="F58" s="6" t="s">
        <v>48</v>
      </c>
      <c r="G58" s="6" t="n">
        <f aca="false">IF(AND(E58&gt;=3,E58&lt;=20),ROUND(C58*(1-D58)*(1/E58),0),0)</f>
        <v>14</v>
      </c>
      <c r="H58" s="6" t="str">
        <f aca="false">IF(F58="Brand","Brand — already winning",IF(AND(E58&lt;=10,D58&lt;0.02,C58&gt;=200),"Ranks page 1 but no clicks → fix title/meta",IF(AND(E58&gt;10,E58&lt;=20,C58&gt;=200),"Page 2 → deepen content / add article",IF(E58&gt;20,"Weak — needs dedicated page","OK"))))</f>
        <v>OK</v>
      </c>
    </row>
    <row r="59" customFormat="false" ht="15" hidden="false" customHeight="false" outlineLevel="0" collapsed="false">
      <c r="A59" s="6" t="s">
        <v>114</v>
      </c>
      <c r="B59" s="6" t="n">
        <v>3</v>
      </c>
      <c r="C59" s="6" t="n">
        <v>68</v>
      </c>
      <c r="D59" s="7" t="n">
        <v>0.0441</v>
      </c>
      <c r="E59" s="8" t="n">
        <v>8.82</v>
      </c>
      <c r="F59" s="6" t="s">
        <v>61</v>
      </c>
      <c r="G59" s="6" t="n">
        <f aca="false">IF(AND(E59&gt;=3,E59&lt;=20),ROUND(C59*(1-D59)*(1/E59),0),0)</f>
        <v>7</v>
      </c>
      <c r="H59" s="6" t="str">
        <f aca="false">IF(F59="Brand","Brand — already winning",IF(AND(E59&lt;=10,D59&lt;0.02,C59&gt;=200),"Ranks page 1 but no clicks → fix title/meta",IF(AND(E59&gt;10,E59&lt;=20,C59&gt;=200),"Page 2 → deepen content / add article",IF(E59&gt;20,"Weak — needs dedicated page","OK"))))</f>
        <v>OK</v>
      </c>
    </row>
    <row r="60" customFormat="false" ht="15" hidden="false" customHeight="false" outlineLevel="0" collapsed="false">
      <c r="A60" s="6" t="s">
        <v>115</v>
      </c>
      <c r="B60" s="6" t="n">
        <v>3</v>
      </c>
      <c r="C60" s="6" t="n">
        <v>65</v>
      </c>
      <c r="D60" s="7" t="n">
        <v>0.0462</v>
      </c>
      <c r="E60" s="8" t="n">
        <v>2.51</v>
      </c>
      <c r="F60" s="6" t="s">
        <v>48</v>
      </c>
      <c r="G60" s="6" t="n">
        <f aca="false">IF(AND(E60&gt;=3,E60&lt;=20),ROUND(C60*(1-D60)*(1/E60),0),0)</f>
        <v>0</v>
      </c>
      <c r="H60" s="6" t="str">
        <f aca="false">IF(F60="Brand","Brand — already winning",IF(AND(E60&lt;=10,D60&lt;0.02,C60&gt;=200),"Ranks page 1 but no clicks → fix title/meta",IF(AND(E60&gt;10,E60&lt;=20,C60&gt;=200),"Page 2 → deepen content / add article",IF(E60&gt;20,"Weak — needs dedicated page","OK"))))</f>
        <v>OK</v>
      </c>
    </row>
    <row r="61" customFormat="false" ht="15" hidden="false" customHeight="false" outlineLevel="0" collapsed="false">
      <c r="A61" s="6" t="s">
        <v>116</v>
      </c>
      <c r="B61" s="6" t="n">
        <v>3</v>
      </c>
      <c r="C61" s="6" t="n">
        <v>62</v>
      </c>
      <c r="D61" s="7" t="n">
        <v>0.0484</v>
      </c>
      <c r="E61" s="8" t="n">
        <v>10.05</v>
      </c>
      <c r="F61" s="6" t="s">
        <v>78</v>
      </c>
      <c r="G61" s="6" t="n">
        <f aca="false">IF(AND(E61&gt;=3,E61&lt;=20),ROUND(C61*(1-D61)*(1/E61),0),0)</f>
        <v>6</v>
      </c>
      <c r="H61" s="6" t="str">
        <f aca="false">IF(F61="Brand","Brand — already winning",IF(AND(E61&lt;=10,D61&lt;0.02,C61&gt;=200),"Ranks page 1 but no clicks → fix title/meta",IF(AND(E61&gt;10,E61&lt;=20,C61&gt;=200),"Page 2 → deepen content / add article",IF(E61&gt;20,"Weak — needs dedicated page","OK"))))</f>
        <v>OK</v>
      </c>
    </row>
    <row r="62" customFormat="false" ht="15" hidden="false" customHeight="false" outlineLevel="0" collapsed="false">
      <c r="A62" s="6" t="s">
        <v>117</v>
      </c>
      <c r="B62" s="6" t="n">
        <v>3</v>
      </c>
      <c r="C62" s="6" t="n">
        <v>49</v>
      </c>
      <c r="D62" s="7" t="n">
        <v>0.0612</v>
      </c>
      <c r="E62" s="8" t="n">
        <v>15.94</v>
      </c>
      <c r="F62" s="6" t="s">
        <v>54</v>
      </c>
      <c r="G62" s="6" t="n">
        <f aca="false">IF(AND(E62&gt;=3,E62&lt;=20),ROUND(C62*(1-D62)*(1/E62),0),0)</f>
        <v>3</v>
      </c>
      <c r="H62" s="6" t="str">
        <f aca="false">IF(F62="Brand","Brand — already winning",IF(AND(E62&lt;=10,D62&lt;0.02,C62&gt;=200),"Ranks page 1 but no clicks → fix title/meta",IF(AND(E62&gt;10,E62&lt;=20,C62&gt;=200),"Page 2 → deepen content / add article",IF(E62&gt;20,"Weak — needs dedicated page","OK"))))</f>
        <v>OK</v>
      </c>
    </row>
    <row r="63" customFormat="false" ht="15" hidden="false" customHeight="false" outlineLevel="0" collapsed="false">
      <c r="A63" s="6" t="s">
        <v>118</v>
      </c>
      <c r="B63" s="6" t="n">
        <v>3</v>
      </c>
      <c r="C63" s="6" t="n">
        <v>35</v>
      </c>
      <c r="D63" s="7" t="n">
        <v>0.0857</v>
      </c>
      <c r="E63" s="8" t="n">
        <v>4.63</v>
      </c>
      <c r="F63" s="6" t="s">
        <v>78</v>
      </c>
      <c r="G63" s="6" t="n">
        <f aca="false">IF(AND(E63&gt;=3,E63&lt;=20),ROUND(C63*(1-D63)*(1/E63),0),0)</f>
        <v>7</v>
      </c>
      <c r="H63" s="6" t="str">
        <f aca="false">IF(F63="Brand","Brand — already winning",IF(AND(E63&lt;=10,D63&lt;0.02,C63&gt;=200),"Ranks page 1 but no clicks → fix title/meta",IF(AND(E63&gt;10,E63&lt;=20,C63&gt;=200),"Page 2 → deepen content / add article",IF(E63&gt;20,"Weak — needs dedicated page","OK"))))</f>
        <v>OK</v>
      </c>
    </row>
    <row r="64" customFormat="false" ht="15" hidden="false" customHeight="false" outlineLevel="0" collapsed="false">
      <c r="A64" s="6" t="s">
        <v>119</v>
      </c>
      <c r="B64" s="6" t="n">
        <v>3</v>
      </c>
      <c r="C64" s="6" t="n">
        <v>17</v>
      </c>
      <c r="D64" s="7" t="n">
        <v>0.1765</v>
      </c>
      <c r="E64" s="8" t="n">
        <v>6.06</v>
      </c>
      <c r="F64" s="6" t="s">
        <v>78</v>
      </c>
      <c r="G64" s="6" t="n">
        <f aca="false">IF(AND(E64&gt;=3,E64&lt;=20),ROUND(C64*(1-D64)*(1/E64),0),0)</f>
        <v>2</v>
      </c>
      <c r="H64" s="6" t="str">
        <f aca="false">IF(F64="Brand","Brand — already winning",IF(AND(E64&lt;=10,D64&lt;0.02,C64&gt;=200),"Ranks page 1 but no clicks → fix title/meta",IF(AND(E64&gt;10,E64&lt;=20,C64&gt;=200),"Page 2 → deepen content / add article",IF(E64&gt;20,"Weak — needs dedicated page","OK"))))</f>
        <v>OK</v>
      </c>
    </row>
    <row r="65" customFormat="false" ht="15" hidden="false" customHeight="false" outlineLevel="0" collapsed="false">
      <c r="A65" s="6" t="s">
        <v>120</v>
      </c>
      <c r="B65" s="6" t="n">
        <v>3</v>
      </c>
      <c r="C65" s="6" t="n">
        <v>15</v>
      </c>
      <c r="D65" s="7" t="n">
        <v>0.2</v>
      </c>
      <c r="E65" s="8" t="n">
        <v>5.87</v>
      </c>
      <c r="F65" s="6" t="s">
        <v>78</v>
      </c>
      <c r="G65" s="6" t="n">
        <f aca="false">IF(AND(E65&gt;=3,E65&lt;=20),ROUND(C65*(1-D65)*(1/E65),0),0)</f>
        <v>2</v>
      </c>
      <c r="H65" s="6" t="str">
        <f aca="false">IF(F65="Brand","Brand — already winning",IF(AND(E65&lt;=10,D65&lt;0.02,C65&gt;=200),"Ranks page 1 but no clicks → fix title/meta",IF(AND(E65&gt;10,E65&lt;=20,C65&gt;=200),"Page 2 → deepen content / add article",IF(E65&gt;20,"Weak — needs dedicated page","OK"))))</f>
        <v>OK</v>
      </c>
    </row>
    <row r="66" customFormat="false" ht="15" hidden="false" customHeight="false" outlineLevel="0" collapsed="false">
      <c r="A66" s="6" t="s">
        <v>121</v>
      </c>
      <c r="B66" s="6" t="n">
        <v>3</v>
      </c>
      <c r="C66" s="6" t="n">
        <v>13</v>
      </c>
      <c r="D66" s="7" t="n">
        <v>0.2308</v>
      </c>
      <c r="E66" s="8" t="n">
        <v>4.54</v>
      </c>
      <c r="F66" s="6" t="s">
        <v>65</v>
      </c>
      <c r="G66" s="6" t="n">
        <f aca="false">IF(AND(E66&gt;=3,E66&lt;=20),ROUND(C66*(1-D66)*(1/E66),0),0)</f>
        <v>2</v>
      </c>
      <c r="H66" s="6" t="str">
        <f aca="false">IF(F66="Brand","Brand — already winning",IF(AND(E66&lt;=10,D66&lt;0.02,C66&gt;=200),"Ranks page 1 but no clicks → fix title/meta",IF(AND(E66&gt;10,E66&lt;=20,C66&gt;=200),"Page 2 → deepen content / add article",IF(E66&gt;20,"Weak — needs dedicated page","OK"))))</f>
        <v>OK</v>
      </c>
    </row>
    <row r="67" customFormat="false" ht="15" hidden="false" customHeight="false" outlineLevel="0" collapsed="false">
      <c r="A67" s="6" t="s">
        <v>122</v>
      </c>
      <c r="B67" s="6" t="n">
        <v>3</v>
      </c>
      <c r="C67" s="6" t="n">
        <v>5</v>
      </c>
      <c r="D67" s="7" t="n">
        <v>0.6</v>
      </c>
      <c r="E67" s="8" t="n">
        <v>7</v>
      </c>
      <c r="F67" s="6" t="s">
        <v>99</v>
      </c>
      <c r="G67" s="6" t="n">
        <f aca="false">IF(AND(E67&gt;=3,E67&lt;=20),ROUND(C67*(1-D67)*(1/E67),0),0)</f>
        <v>0</v>
      </c>
      <c r="H67" s="6" t="str">
        <f aca="false">IF(F67="Brand","Brand — already winning",IF(AND(E67&lt;=10,D67&lt;0.02,C67&gt;=200),"Ranks page 1 but no clicks → fix title/meta",IF(AND(E67&gt;10,E67&lt;=20,C67&gt;=200),"Page 2 → deepen content / add article",IF(E67&gt;20,"Weak — needs dedicated page","OK"))))</f>
        <v>OK</v>
      </c>
    </row>
    <row r="68" customFormat="false" ht="15" hidden="false" customHeight="false" outlineLevel="0" collapsed="false">
      <c r="A68" s="6" t="s">
        <v>123</v>
      </c>
      <c r="B68" s="6" t="n">
        <v>3</v>
      </c>
      <c r="C68" s="6" t="n">
        <v>4</v>
      </c>
      <c r="D68" s="7" t="n">
        <v>0.75</v>
      </c>
      <c r="E68" s="8" t="n">
        <v>1</v>
      </c>
      <c r="F68" s="6" t="s">
        <v>43</v>
      </c>
      <c r="G68" s="6" t="n">
        <f aca="false">IF(AND(E68&gt;=3,E68&lt;=20),ROUND(C68*(1-D68)*(1/E68),0),0)</f>
        <v>0</v>
      </c>
      <c r="H68" s="6" t="str">
        <f aca="false">IF(F68="Brand","Brand — already winning",IF(AND(E68&lt;=10,D68&lt;0.02,C68&gt;=200),"Ranks page 1 but no clicks → fix title/meta",IF(AND(E68&gt;10,E68&lt;=20,C68&gt;=200),"Page 2 → deepen content / add article",IF(E68&gt;20,"Weak — needs dedicated page","OK"))))</f>
        <v>Brand — already winning</v>
      </c>
    </row>
    <row r="69" customFormat="false" ht="15" hidden="false" customHeight="false" outlineLevel="0" collapsed="false">
      <c r="A69" s="6" t="s">
        <v>124</v>
      </c>
      <c r="B69" s="6" t="n">
        <v>2</v>
      </c>
      <c r="C69" s="6" t="n">
        <v>1087</v>
      </c>
      <c r="D69" s="7" t="n">
        <v>0.0018</v>
      </c>
      <c r="E69" s="8" t="n">
        <v>12.78</v>
      </c>
      <c r="F69" s="6" t="s">
        <v>90</v>
      </c>
      <c r="G69" s="6" t="n">
        <f aca="false">IF(AND(E69&gt;=3,E69&lt;=20),ROUND(C69*(1-D69)*(1/E69),0),0)</f>
        <v>85</v>
      </c>
      <c r="H69" s="6" t="str">
        <f aca="false">IF(F69="Brand","Brand — already winning",IF(AND(E69&lt;=10,D69&lt;0.02,C69&gt;=200),"Ranks page 1 but no clicks → fix title/meta",IF(AND(E69&gt;10,E69&lt;=20,C69&gt;=200),"Page 2 → deepen content / add article",IF(E69&gt;20,"Weak — needs dedicated page","OK"))))</f>
        <v>Page 2 → deepen content / add article</v>
      </c>
    </row>
    <row r="70" customFormat="false" ht="15" hidden="false" customHeight="false" outlineLevel="0" collapsed="false">
      <c r="A70" s="6" t="s">
        <v>125</v>
      </c>
      <c r="B70" s="6" t="n">
        <v>2</v>
      </c>
      <c r="C70" s="6" t="n">
        <v>282</v>
      </c>
      <c r="D70" s="7" t="n">
        <v>0.0071</v>
      </c>
      <c r="E70" s="8" t="n">
        <v>11</v>
      </c>
      <c r="F70" s="6" t="s">
        <v>48</v>
      </c>
      <c r="G70" s="6" t="n">
        <f aca="false">IF(AND(E70&gt;=3,E70&lt;=20),ROUND(C70*(1-D70)*(1/E70),0),0)</f>
        <v>25</v>
      </c>
      <c r="H70" s="6" t="str">
        <f aca="false">IF(F70="Brand","Brand — already winning",IF(AND(E70&lt;=10,D70&lt;0.02,C70&gt;=200),"Ranks page 1 but no clicks → fix title/meta",IF(AND(E70&gt;10,E70&lt;=20,C70&gt;=200),"Page 2 → deepen content / add article",IF(E70&gt;20,"Weak — needs dedicated page","OK"))))</f>
        <v>Page 2 → deepen content / add article</v>
      </c>
    </row>
    <row r="71" customFormat="false" ht="15" hidden="false" customHeight="false" outlineLevel="0" collapsed="false">
      <c r="A71" s="6" t="s">
        <v>126</v>
      </c>
      <c r="B71" s="6" t="n">
        <v>2</v>
      </c>
      <c r="C71" s="6" t="n">
        <v>279</v>
      </c>
      <c r="D71" s="7" t="n">
        <v>0.0072</v>
      </c>
      <c r="E71" s="8" t="n">
        <v>5.95</v>
      </c>
      <c r="F71" s="6" t="s">
        <v>78</v>
      </c>
      <c r="G71" s="6" t="n">
        <f aca="false">IF(AND(E71&gt;=3,E71&lt;=20),ROUND(C71*(1-D71)*(1/E71),0),0)</f>
        <v>47</v>
      </c>
      <c r="H71" s="6" t="str">
        <f aca="false">IF(F71="Brand","Brand — already winning",IF(AND(E71&lt;=10,D71&lt;0.02,C71&gt;=200),"Ranks page 1 but no clicks → fix title/meta",IF(AND(E71&gt;10,E71&lt;=20,C71&gt;=200),"Page 2 → deepen content / add article",IF(E71&gt;20,"Weak — needs dedicated page","OK"))))</f>
        <v>Ranks page 1 but no clicks → fix title/meta</v>
      </c>
    </row>
    <row r="72" customFormat="false" ht="15" hidden="false" customHeight="false" outlineLevel="0" collapsed="false">
      <c r="A72" s="6" t="s">
        <v>127</v>
      </c>
      <c r="B72" s="6" t="n">
        <v>2</v>
      </c>
      <c r="C72" s="6" t="n">
        <v>264</v>
      </c>
      <c r="D72" s="7" t="n">
        <v>0.0076</v>
      </c>
      <c r="E72" s="8" t="n">
        <v>2.65</v>
      </c>
      <c r="F72" s="6" t="s">
        <v>68</v>
      </c>
      <c r="G72" s="6" t="n">
        <f aca="false">IF(AND(E72&gt;=3,E72&lt;=20),ROUND(C72*(1-D72)*(1/E72),0),0)</f>
        <v>0</v>
      </c>
      <c r="H72" s="6" t="str">
        <f aca="false">IF(F72="Brand","Brand — already winning",IF(AND(E72&lt;=10,D72&lt;0.02,C72&gt;=200),"Ranks page 1 but no clicks → fix title/meta",IF(AND(E72&gt;10,E72&lt;=20,C72&gt;=200),"Page 2 → deepen content / add article",IF(E72&gt;20,"Weak — needs dedicated page","OK"))))</f>
        <v>Ranks page 1 but no clicks → fix title/meta</v>
      </c>
    </row>
    <row r="73" customFormat="false" ht="15" hidden="false" customHeight="false" outlineLevel="0" collapsed="false">
      <c r="A73" s="6" t="s">
        <v>128</v>
      </c>
      <c r="B73" s="6" t="n">
        <v>2</v>
      </c>
      <c r="C73" s="6" t="n">
        <v>165</v>
      </c>
      <c r="D73" s="7" t="n">
        <v>0.0121</v>
      </c>
      <c r="E73" s="8" t="n">
        <v>9.71</v>
      </c>
      <c r="F73" s="6" t="s">
        <v>48</v>
      </c>
      <c r="G73" s="6" t="n">
        <f aca="false">IF(AND(E73&gt;=3,E73&lt;=20),ROUND(C73*(1-D73)*(1/E73),0),0)</f>
        <v>17</v>
      </c>
      <c r="H73" s="6" t="str">
        <f aca="false">IF(F73="Brand","Brand — already winning",IF(AND(E73&lt;=10,D73&lt;0.02,C73&gt;=200),"Ranks page 1 but no clicks → fix title/meta",IF(AND(E73&gt;10,E73&lt;=20,C73&gt;=200),"Page 2 → deepen content / add article",IF(E73&gt;20,"Weak — needs dedicated page","OK"))))</f>
        <v>OK</v>
      </c>
    </row>
    <row r="74" customFormat="false" ht="15" hidden="false" customHeight="false" outlineLevel="0" collapsed="false">
      <c r="A74" s="6" t="s">
        <v>129</v>
      </c>
      <c r="B74" s="6" t="n">
        <v>2</v>
      </c>
      <c r="C74" s="6" t="n">
        <v>157</v>
      </c>
      <c r="D74" s="7" t="n">
        <v>0.0127</v>
      </c>
      <c r="E74" s="8" t="n">
        <v>6.57</v>
      </c>
      <c r="F74" s="6" t="s">
        <v>48</v>
      </c>
      <c r="G74" s="6" t="n">
        <f aca="false">IF(AND(E74&gt;=3,E74&lt;=20),ROUND(C74*(1-D74)*(1/E74),0),0)</f>
        <v>24</v>
      </c>
      <c r="H74" s="6" t="str">
        <f aca="false">IF(F74="Brand","Brand — already winning",IF(AND(E74&lt;=10,D74&lt;0.02,C74&gt;=200),"Ranks page 1 but no clicks → fix title/meta",IF(AND(E74&gt;10,E74&lt;=20,C74&gt;=200),"Page 2 → deepen content / add article",IF(E74&gt;20,"Weak — needs dedicated page","OK"))))</f>
        <v>OK</v>
      </c>
    </row>
    <row r="75" customFormat="false" ht="15" hidden="false" customHeight="false" outlineLevel="0" collapsed="false">
      <c r="A75" s="6" t="s">
        <v>130</v>
      </c>
      <c r="B75" s="6" t="n">
        <v>2</v>
      </c>
      <c r="C75" s="6" t="n">
        <v>142</v>
      </c>
      <c r="D75" s="7" t="n">
        <v>0.0141</v>
      </c>
      <c r="E75" s="8" t="n">
        <v>5.75</v>
      </c>
      <c r="F75" s="6" t="s">
        <v>48</v>
      </c>
      <c r="G75" s="6" t="n">
        <f aca="false">IF(AND(E75&gt;=3,E75&lt;=20),ROUND(C75*(1-D75)*(1/E75),0),0)</f>
        <v>24</v>
      </c>
      <c r="H75" s="6" t="str">
        <f aca="false">IF(F75="Brand","Brand — already winning",IF(AND(E75&lt;=10,D75&lt;0.02,C75&gt;=200),"Ranks page 1 but no clicks → fix title/meta",IF(AND(E75&gt;10,E75&lt;=20,C75&gt;=200),"Page 2 → deepen content / add article",IF(E75&gt;20,"Weak — needs dedicated page","OK"))))</f>
        <v>OK</v>
      </c>
    </row>
    <row r="76" customFormat="false" ht="15" hidden="false" customHeight="false" outlineLevel="0" collapsed="false">
      <c r="A76" s="6" t="s">
        <v>131</v>
      </c>
      <c r="B76" s="6" t="n">
        <v>2</v>
      </c>
      <c r="C76" s="6" t="n">
        <v>88</v>
      </c>
      <c r="D76" s="7" t="n">
        <v>0.0227</v>
      </c>
      <c r="E76" s="8" t="n">
        <v>11.1</v>
      </c>
      <c r="F76" s="6" t="s">
        <v>58</v>
      </c>
      <c r="G76" s="6" t="n">
        <f aca="false">IF(AND(E76&gt;=3,E76&lt;=20),ROUND(C76*(1-D76)*(1/E76),0),0)</f>
        <v>8</v>
      </c>
      <c r="H76" s="6" t="str">
        <f aca="false">IF(F76="Brand","Brand — already winning",IF(AND(E76&lt;=10,D76&lt;0.02,C76&gt;=200),"Ranks page 1 but no clicks → fix title/meta",IF(AND(E76&gt;10,E76&lt;=20,C76&gt;=200),"Page 2 → deepen content / add article",IF(E76&gt;20,"Weak — needs dedicated page","OK"))))</f>
        <v>OK</v>
      </c>
    </row>
    <row r="77" customFormat="false" ht="15" hidden="false" customHeight="false" outlineLevel="0" collapsed="false">
      <c r="A77" s="6" t="s">
        <v>132</v>
      </c>
      <c r="B77" s="6" t="n">
        <v>2</v>
      </c>
      <c r="C77" s="6" t="n">
        <v>79</v>
      </c>
      <c r="D77" s="7" t="n">
        <v>0.0253</v>
      </c>
      <c r="E77" s="8" t="n">
        <v>3.11</v>
      </c>
      <c r="F77" s="6" t="s">
        <v>90</v>
      </c>
      <c r="G77" s="6" t="n">
        <f aca="false">IF(AND(E77&gt;=3,E77&lt;=20),ROUND(C77*(1-D77)*(1/E77),0),0)</f>
        <v>25</v>
      </c>
      <c r="H77" s="6" t="str">
        <f aca="false">IF(F77="Brand","Brand — already winning",IF(AND(E77&lt;=10,D77&lt;0.02,C77&gt;=200),"Ranks page 1 but no clicks → fix title/meta",IF(AND(E77&gt;10,E77&lt;=20,C77&gt;=200),"Page 2 → deepen content / add article",IF(E77&gt;20,"Weak — needs dedicated page","OK"))))</f>
        <v>OK</v>
      </c>
    </row>
    <row r="78" customFormat="false" ht="15" hidden="false" customHeight="false" outlineLevel="0" collapsed="false">
      <c r="A78" s="6" t="s">
        <v>133</v>
      </c>
      <c r="B78" s="6" t="n">
        <v>2</v>
      </c>
      <c r="C78" s="6" t="n">
        <v>66</v>
      </c>
      <c r="D78" s="7" t="n">
        <v>0.0303</v>
      </c>
      <c r="E78" s="8" t="n">
        <v>7.55</v>
      </c>
      <c r="F78" s="6" t="s">
        <v>88</v>
      </c>
      <c r="G78" s="6" t="n">
        <f aca="false">IF(AND(E78&gt;=3,E78&lt;=20),ROUND(C78*(1-D78)*(1/E78),0),0)</f>
        <v>8</v>
      </c>
      <c r="H78" s="6" t="str">
        <f aca="false">IF(F78="Brand","Brand — already winning",IF(AND(E78&lt;=10,D78&lt;0.02,C78&gt;=200),"Ranks page 1 but no clicks → fix title/meta",IF(AND(E78&gt;10,E78&lt;=20,C78&gt;=200),"Page 2 → deepen content / add article",IF(E78&gt;20,"Weak — needs dedicated page","OK"))))</f>
        <v>OK</v>
      </c>
    </row>
    <row r="79" customFormat="false" ht="15" hidden="false" customHeight="false" outlineLevel="0" collapsed="false">
      <c r="A79" s="6" t="s">
        <v>134</v>
      </c>
      <c r="B79" s="6" t="n">
        <v>2</v>
      </c>
      <c r="C79" s="6" t="n">
        <v>53</v>
      </c>
      <c r="D79" s="7" t="n">
        <v>0.0377</v>
      </c>
      <c r="E79" s="8" t="n">
        <v>3.92</v>
      </c>
      <c r="F79" s="6" t="s">
        <v>88</v>
      </c>
      <c r="G79" s="6" t="n">
        <f aca="false">IF(AND(E79&gt;=3,E79&lt;=20),ROUND(C79*(1-D79)*(1/E79),0),0)</f>
        <v>13</v>
      </c>
      <c r="H79" s="6" t="str">
        <f aca="false">IF(F79="Brand","Brand — already winning",IF(AND(E79&lt;=10,D79&lt;0.02,C79&gt;=200),"Ranks page 1 but no clicks → fix title/meta",IF(AND(E79&gt;10,E79&lt;=20,C79&gt;=200),"Page 2 → deepen content / add article",IF(E79&gt;20,"Weak — needs dedicated page","OK"))))</f>
        <v>OK</v>
      </c>
    </row>
    <row r="80" customFormat="false" ht="15" hidden="false" customHeight="false" outlineLevel="0" collapsed="false">
      <c r="A80" s="6" t="s">
        <v>135</v>
      </c>
      <c r="B80" s="6" t="n">
        <v>2</v>
      </c>
      <c r="C80" s="6" t="n">
        <v>51</v>
      </c>
      <c r="D80" s="7" t="n">
        <v>0.0392</v>
      </c>
      <c r="E80" s="8" t="n">
        <v>7.92</v>
      </c>
      <c r="F80" s="6" t="s">
        <v>43</v>
      </c>
      <c r="G80" s="6" t="n">
        <f aca="false">IF(AND(E80&gt;=3,E80&lt;=20),ROUND(C80*(1-D80)*(1/E80),0),0)</f>
        <v>6</v>
      </c>
      <c r="H80" s="6" t="str">
        <f aca="false">IF(F80="Brand","Brand — already winning",IF(AND(E80&lt;=10,D80&lt;0.02,C80&gt;=200),"Ranks page 1 but no clicks → fix title/meta",IF(AND(E80&gt;10,E80&lt;=20,C80&gt;=200),"Page 2 → deepen content / add article",IF(E80&gt;20,"Weak — needs dedicated page","OK"))))</f>
        <v>Brand — already winning</v>
      </c>
    </row>
    <row r="81" customFormat="false" ht="15" hidden="false" customHeight="false" outlineLevel="0" collapsed="false">
      <c r="A81" s="6" t="s">
        <v>136</v>
      </c>
      <c r="B81" s="6" t="n">
        <v>2</v>
      </c>
      <c r="C81" s="6" t="n">
        <v>50</v>
      </c>
      <c r="D81" s="7" t="n">
        <v>0.04</v>
      </c>
      <c r="E81" s="8" t="n">
        <v>1.66</v>
      </c>
      <c r="F81" s="6" t="s">
        <v>99</v>
      </c>
      <c r="G81" s="6" t="n">
        <f aca="false">IF(AND(E81&gt;=3,E81&lt;=20),ROUND(C81*(1-D81)*(1/E81),0),0)</f>
        <v>0</v>
      </c>
      <c r="H81" s="6" t="str">
        <f aca="false">IF(F81="Brand","Brand — already winning",IF(AND(E81&lt;=10,D81&lt;0.02,C81&gt;=200),"Ranks page 1 but no clicks → fix title/meta",IF(AND(E81&gt;10,E81&lt;=20,C81&gt;=200),"Page 2 → deepen content / add article",IF(E81&gt;20,"Weak — needs dedicated page","OK"))))</f>
        <v>OK</v>
      </c>
    </row>
    <row r="82" customFormat="false" ht="15" hidden="false" customHeight="false" outlineLevel="0" collapsed="false">
      <c r="A82" s="6" t="s">
        <v>137</v>
      </c>
      <c r="B82" s="6" t="n">
        <v>2</v>
      </c>
      <c r="C82" s="6" t="n">
        <v>49</v>
      </c>
      <c r="D82" s="7" t="n">
        <v>0.0408</v>
      </c>
      <c r="E82" s="8" t="n">
        <v>30.59</v>
      </c>
      <c r="F82" s="6" t="s">
        <v>71</v>
      </c>
      <c r="G82" s="6" t="n">
        <f aca="false">IF(AND(E82&gt;=3,E82&lt;=20),ROUND(C82*(1-D82)*(1/E82),0),0)</f>
        <v>0</v>
      </c>
      <c r="H82" s="6" t="str">
        <f aca="false">IF(F82="Brand","Brand — already winning",IF(AND(E82&lt;=10,D82&lt;0.02,C82&gt;=200),"Ranks page 1 but no clicks → fix title/meta",IF(AND(E82&gt;10,E82&lt;=20,C82&gt;=200),"Page 2 → deepen content / add article",IF(E82&gt;20,"Weak — needs dedicated page","OK"))))</f>
        <v>Weak — needs dedicated page</v>
      </c>
    </row>
    <row r="83" customFormat="false" ht="15" hidden="false" customHeight="false" outlineLevel="0" collapsed="false">
      <c r="A83" s="6" t="s">
        <v>138</v>
      </c>
      <c r="B83" s="6" t="n">
        <v>2</v>
      </c>
      <c r="C83" s="6" t="n">
        <v>46</v>
      </c>
      <c r="D83" s="7" t="n">
        <v>0.0435</v>
      </c>
      <c r="E83" s="8" t="n">
        <v>6.83</v>
      </c>
      <c r="F83" s="6" t="s">
        <v>56</v>
      </c>
      <c r="G83" s="6" t="n">
        <f aca="false">IF(AND(E83&gt;=3,E83&lt;=20),ROUND(C83*(1-D83)*(1/E83),0),0)</f>
        <v>6</v>
      </c>
      <c r="H83" s="6" t="str">
        <f aca="false">IF(F83="Brand","Brand — already winning",IF(AND(E83&lt;=10,D83&lt;0.02,C83&gt;=200),"Ranks page 1 but no clicks → fix title/meta",IF(AND(E83&gt;10,E83&lt;=20,C83&gt;=200),"Page 2 → deepen content / add article",IF(E83&gt;20,"Weak — needs dedicated page","OK"))))</f>
        <v>OK</v>
      </c>
    </row>
    <row r="84" customFormat="false" ht="15" hidden="false" customHeight="false" outlineLevel="0" collapsed="false">
      <c r="A84" s="6" t="s">
        <v>139</v>
      </c>
      <c r="B84" s="6" t="n">
        <v>2</v>
      </c>
      <c r="C84" s="6" t="n">
        <v>39</v>
      </c>
      <c r="D84" s="7" t="n">
        <v>0.0513</v>
      </c>
      <c r="E84" s="8" t="n">
        <v>11.23</v>
      </c>
      <c r="F84" s="6" t="s">
        <v>54</v>
      </c>
      <c r="G84" s="6" t="n">
        <f aca="false">IF(AND(E84&gt;=3,E84&lt;=20),ROUND(C84*(1-D84)*(1/E84),0),0)</f>
        <v>3</v>
      </c>
      <c r="H84" s="6" t="str">
        <f aca="false">IF(F84="Brand","Brand — already winning",IF(AND(E84&lt;=10,D84&lt;0.02,C84&gt;=200),"Ranks page 1 but no clicks → fix title/meta",IF(AND(E84&gt;10,E84&lt;=20,C84&gt;=200),"Page 2 → deepen content / add article",IF(E84&gt;20,"Weak — needs dedicated page","OK"))))</f>
        <v>OK</v>
      </c>
    </row>
    <row r="85" customFormat="false" ht="15" hidden="false" customHeight="false" outlineLevel="0" collapsed="false">
      <c r="A85" s="6" t="s">
        <v>140</v>
      </c>
      <c r="B85" s="6" t="n">
        <v>2</v>
      </c>
      <c r="C85" s="6" t="n">
        <v>37</v>
      </c>
      <c r="D85" s="7" t="n">
        <v>0.0541</v>
      </c>
      <c r="E85" s="8" t="n">
        <v>4.92</v>
      </c>
      <c r="F85" s="6" t="s">
        <v>48</v>
      </c>
      <c r="G85" s="6" t="n">
        <f aca="false">IF(AND(E85&gt;=3,E85&lt;=20),ROUND(C85*(1-D85)*(1/E85),0),0)</f>
        <v>7</v>
      </c>
      <c r="H85" s="6" t="str">
        <f aca="false">IF(F85="Brand","Brand — already winning",IF(AND(E85&lt;=10,D85&lt;0.02,C85&gt;=200),"Ranks page 1 but no clicks → fix title/meta",IF(AND(E85&gt;10,E85&lt;=20,C85&gt;=200),"Page 2 → deepen content / add article",IF(E85&gt;20,"Weak — needs dedicated page","OK"))))</f>
        <v>OK</v>
      </c>
    </row>
    <row r="86" customFormat="false" ht="15" hidden="false" customHeight="false" outlineLevel="0" collapsed="false">
      <c r="A86" s="6" t="s">
        <v>141</v>
      </c>
      <c r="B86" s="6" t="n">
        <v>2</v>
      </c>
      <c r="C86" s="6" t="n">
        <v>30</v>
      </c>
      <c r="D86" s="7" t="n">
        <v>0.0667</v>
      </c>
      <c r="E86" s="8" t="n">
        <v>3.8</v>
      </c>
      <c r="F86" s="6" t="s">
        <v>88</v>
      </c>
      <c r="G86" s="6" t="n">
        <f aca="false">IF(AND(E86&gt;=3,E86&lt;=20),ROUND(C86*(1-D86)*(1/E86),0),0)</f>
        <v>7</v>
      </c>
      <c r="H86" s="6" t="str">
        <f aca="false">IF(F86="Brand","Brand — already winning",IF(AND(E86&lt;=10,D86&lt;0.02,C86&gt;=200),"Ranks page 1 but no clicks → fix title/meta",IF(AND(E86&gt;10,E86&lt;=20,C86&gt;=200),"Page 2 → deepen content / add article",IF(E86&gt;20,"Weak — needs dedicated page","OK"))))</f>
        <v>OK</v>
      </c>
    </row>
    <row r="87" customFormat="false" ht="15" hidden="false" customHeight="false" outlineLevel="0" collapsed="false">
      <c r="A87" s="6" t="s">
        <v>142</v>
      </c>
      <c r="B87" s="6" t="n">
        <v>2</v>
      </c>
      <c r="C87" s="6" t="n">
        <v>29</v>
      </c>
      <c r="D87" s="7" t="n">
        <v>0.069</v>
      </c>
      <c r="E87" s="8" t="n">
        <v>5.62</v>
      </c>
      <c r="F87" s="6" t="s">
        <v>71</v>
      </c>
      <c r="G87" s="6" t="n">
        <f aca="false">IF(AND(E87&gt;=3,E87&lt;=20),ROUND(C87*(1-D87)*(1/E87),0),0)</f>
        <v>5</v>
      </c>
      <c r="H87" s="6" t="str">
        <f aca="false">IF(F87="Brand","Brand — already winning",IF(AND(E87&lt;=10,D87&lt;0.02,C87&gt;=200),"Ranks page 1 but no clicks → fix title/meta",IF(AND(E87&gt;10,E87&lt;=20,C87&gt;=200),"Page 2 → deepen content / add article",IF(E87&gt;20,"Weak — needs dedicated page","OK"))))</f>
        <v>OK</v>
      </c>
    </row>
    <row r="88" customFormat="false" ht="15" hidden="false" customHeight="false" outlineLevel="0" collapsed="false">
      <c r="A88" s="6" t="s">
        <v>143</v>
      </c>
      <c r="B88" s="6" t="n">
        <v>2</v>
      </c>
      <c r="C88" s="6" t="n">
        <v>28</v>
      </c>
      <c r="D88" s="7" t="n">
        <v>0.0714</v>
      </c>
      <c r="E88" s="8" t="n">
        <v>3.32</v>
      </c>
      <c r="F88" s="6" t="s">
        <v>88</v>
      </c>
      <c r="G88" s="6" t="n">
        <f aca="false">IF(AND(E88&gt;=3,E88&lt;=20),ROUND(C88*(1-D88)*(1/E88),0),0)</f>
        <v>8</v>
      </c>
      <c r="H88" s="6" t="str">
        <f aca="false">IF(F88="Brand","Brand — already winning",IF(AND(E88&lt;=10,D88&lt;0.02,C88&gt;=200),"Ranks page 1 but no clicks → fix title/meta",IF(AND(E88&gt;10,E88&lt;=20,C88&gt;=200),"Page 2 → deepen content / add article",IF(E88&gt;20,"Weak — needs dedicated page","OK"))))</f>
        <v>OK</v>
      </c>
    </row>
    <row r="89" customFormat="false" ht="15" hidden="false" customHeight="false" outlineLevel="0" collapsed="false">
      <c r="A89" s="6" t="s">
        <v>144</v>
      </c>
      <c r="B89" s="6" t="n">
        <v>2</v>
      </c>
      <c r="C89" s="6" t="n">
        <v>27</v>
      </c>
      <c r="D89" s="7" t="n">
        <v>0.0741</v>
      </c>
      <c r="E89" s="8" t="n">
        <v>7.74</v>
      </c>
      <c r="F89" s="6" t="s">
        <v>68</v>
      </c>
      <c r="G89" s="6" t="n">
        <f aca="false">IF(AND(E89&gt;=3,E89&lt;=20),ROUND(C89*(1-D89)*(1/E89),0),0)</f>
        <v>3</v>
      </c>
      <c r="H89" s="6" t="str">
        <f aca="false">IF(F89="Brand","Brand — already winning",IF(AND(E89&lt;=10,D89&lt;0.02,C89&gt;=200),"Ranks page 1 but no clicks → fix title/meta",IF(AND(E89&gt;10,E89&lt;=20,C89&gt;=200),"Page 2 → deepen content / add article",IF(E89&gt;20,"Weak — needs dedicated page","OK"))))</f>
        <v>OK</v>
      </c>
    </row>
    <row r="90" customFormat="false" ht="15" hidden="false" customHeight="false" outlineLevel="0" collapsed="false">
      <c r="A90" s="6" t="s">
        <v>145</v>
      </c>
      <c r="B90" s="6" t="n">
        <v>2</v>
      </c>
      <c r="C90" s="6" t="n">
        <v>26</v>
      </c>
      <c r="D90" s="7" t="n">
        <v>0.0769</v>
      </c>
      <c r="E90" s="8" t="n">
        <v>13.77</v>
      </c>
      <c r="F90" s="6" t="s">
        <v>43</v>
      </c>
      <c r="G90" s="6" t="n">
        <f aca="false">IF(AND(E90&gt;=3,E90&lt;=20),ROUND(C90*(1-D90)*(1/E90),0),0)</f>
        <v>2</v>
      </c>
      <c r="H90" s="6" t="str">
        <f aca="false">IF(F90="Brand","Brand — already winning",IF(AND(E90&lt;=10,D90&lt;0.02,C90&gt;=200),"Ranks page 1 but no clicks → fix title/meta",IF(AND(E90&gt;10,E90&lt;=20,C90&gt;=200),"Page 2 → deepen content / add article",IF(E90&gt;20,"Weak — needs dedicated page","OK"))))</f>
        <v>Brand — already winning</v>
      </c>
    </row>
    <row r="91" customFormat="false" ht="15" hidden="false" customHeight="false" outlineLevel="0" collapsed="false">
      <c r="A91" s="6" t="s">
        <v>146</v>
      </c>
      <c r="B91" s="6" t="n">
        <v>2</v>
      </c>
      <c r="C91" s="6" t="n">
        <v>20</v>
      </c>
      <c r="D91" s="7" t="n">
        <v>0.1</v>
      </c>
      <c r="E91" s="8" t="n">
        <v>5.6</v>
      </c>
      <c r="F91" s="6" t="s">
        <v>78</v>
      </c>
      <c r="G91" s="6" t="n">
        <f aca="false">IF(AND(E91&gt;=3,E91&lt;=20),ROUND(C91*(1-D91)*(1/E91),0),0)</f>
        <v>3</v>
      </c>
      <c r="H91" s="6" t="str">
        <f aca="false">IF(F91="Brand","Brand — already winning",IF(AND(E91&lt;=10,D91&lt;0.02,C91&gt;=200),"Ranks page 1 but no clicks → fix title/meta",IF(AND(E91&gt;10,E91&lt;=20,C91&gt;=200),"Page 2 → deepen content / add article",IF(E91&gt;20,"Weak — needs dedicated page","OK"))))</f>
        <v>OK</v>
      </c>
    </row>
    <row r="92" customFormat="false" ht="15" hidden="false" customHeight="false" outlineLevel="0" collapsed="false">
      <c r="A92" s="6" t="s">
        <v>147</v>
      </c>
      <c r="B92" s="6" t="n">
        <v>2</v>
      </c>
      <c r="C92" s="6" t="n">
        <v>17</v>
      </c>
      <c r="D92" s="7" t="n">
        <v>0.1176</v>
      </c>
      <c r="E92" s="8" t="n">
        <v>3.94</v>
      </c>
      <c r="F92" s="6" t="s">
        <v>88</v>
      </c>
      <c r="G92" s="6" t="n">
        <f aca="false">IF(AND(E92&gt;=3,E92&lt;=20),ROUND(C92*(1-D92)*(1/E92),0),0)</f>
        <v>4</v>
      </c>
      <c r="H92" s="6" t="str">
        <f aca="false">IF(F92="Brand","Brand — already winning",IF(AND(E92&lt;=10,D92&lt;0.02,C92&gt;=200),"Ranks page 1 but no clicks → fix title/meta",IF(AND(E92&gt;10,E92&lt;=20,C92&gt;=200),"Page 2 → deepen content / add article",IF(E92&gt;20,"Weak — needs dedicated page","OK"))))</f>
        <v>OK</v>
      </c>
    </row>
    <row r="93" customFormat="false" ht="15" hidden="false" customHeight="false" outlineLevel="0" collapsed="false">
      <c r="A93" s="6" t="s">
        <v>148</v>
      </c>
      <c r="B93" s="6" t="n">
        <v>2</v>
      </c>
      <c r="C93" s="6" t="n">
        <v>17</v>
      </c>
      <c r="D93" s="7" t="n">
        <v>0.1176</v>
      </c>
      <c r="E93" s="8" t="n">
        <v>5.41</v>
      </c>
      <c r="F93" s="6" t="s">
        <v>68</v>
      </c>
      <c r="G93" s="6" t="n">
        <f aca="false">IF(AND(E93&gt;=3,E93&lt;=20),ROUND(C93*(1-D93)*(1/E93),0),0)</f>
        <v>3</v>
      </c>
      <c r="H93" s="6" t="str">
        <f aca="false">IF(F93="Brand","Brand — already winning",IF(AND(E93&lt;=10,D93&lt;0.02,C93&gt;=200),"Ranks page 1 but no clicks → fix title/meta",IF(AND(E93&gt;10,E93&lt;=20,C93&gt;=200),"Page 2 → deepen content / add article",IF(E93&gt;20,"Weak — needs dedicated page","OK"))))</f>
        <v>OK</v>
      </c>
    </row>
    <row r="94" customFormat="false" ht="15" hidden="false" customHeight="false" outlineLevel="0" collapsed="false">
      <c r="A94" s="6" t="s">
        <v>149</v>
      </c>
      <c r="B94" s="6" t="n">
        <v>2</v>
      </c>
      <c r="C94" s="6" t="n">
        <v>17</v>
      </c>
      <c r="D94" s="7" t="n">
        <v>0.1176</v>
      </c>
      <c r="E94" s="8" t="n">
        <v>5.76</v>
      </c>
      <c r="F94" s="6" t="s">
        <v>43</v>
      </c>
      <c r="G94" s="6" t="n">
        <f aca="false">IF(AND(E94&gt;=3,E94&lt;=20),ROUND(C94*(1-D94)*(1/E94),0),0)</f>
        <v>3</v>
      </c>
      <c r="H94" s="6" t="str">
        <f aca="false">IF(F94="Brand","Brand — already winning",IF(AND(E94&lt;=10,D94&lt;0.02,C94&gt;=200),"Ranks page 1 but no clicks → fix title/meta",IF(AND(E94&gt;10,E94&lt;=20,C94&gt;=200),"Page 2 → deepen content / add article",IF(E94&gt;20,"Weak — needs dedicated page","OK"))))</f>
        <v>Brand — already winning</v>
      </c>
    </row>
    <row r="95" customFormat="false" ht="15" hidden="false" customHeight="false" outlineLevel="0" collapsed="false">
      <c r="A95" s="6" t="s">
        <v>150</v>
      </c>
      <c r="B95" s="6" t="n">
        <v>2</v>
      </c>
      <c r="C95" s="6" t="n">
        <v>16</v>
      </c>
      <c r="D95" s="7" t="n">
        <v>0.125</v>
      </c>
      <c r="E95" s="8" t="n">
        <v>7.06</v>
      </c>
      <c r="F95" s="6" t="s">
        <v>63</v>
      </c>
      <c r="G95" s="6" t="n">
        <f aca="false">IF(AND(E95&gt;=3,E95&lt;=20),ROUND(C95*(1-D95)*(1/E95),0),0)</f>
        <v>2</v>
      </c>
      <c r="H95" s="6" t="str">
        <f aca="false">IF(F95="Brand","Brand — already winning",IF(AND(E95&lt;=10,D95&lt;0.02,C95&gt;=200),"Ranks page 1 but no clicks → fix title/meta",IF(AND(E95&gt;10,E95&lt;=20,C95&gt;=200),"Page 2 → deepen content / add article",IF(E95&gt;20,"Weak — needs dedicated page","OK"))))</f>
        <v>OK</v>
      </c>
    </row>
    <row r="96" customFormat="false" ht="15" hidden="false" customHeight="false" outlineLevel="0" collapsed="false">
      <c r="A96" s="6" t="s">
        <v>151</v>
      </c>
      <c r="B96" s="6" t="n">
        <v>2</v>
      </c>
      <c r="C96" s="6" t="n">
        <v>15</v>
      </c>
      <c r="D96" s="7" t="n">
        <v>0.1333</v>
      </c>
      <c r="E96" s="8" t="n">
        <v>1.87</v>
      </c>
      <c r="F96" s="6" t="s">
        <v>68</v>
      </c>
      <c r="G96" s="6" t="n">
        <f aca="false">IF(AND(E96&gt;=3,E96&lt;=20),ROUND(C96*(1-D96)*(1/E96),0),0)</f>
        <v>0</v>
      </c>
      <c r="H96" s="6" t="str">
        <f aca="false">IF(F96="Brand","Brand — already winning",IF(AND(E96&lt;=10,D96&lt;0.02,C96&gt;=200),"Ranks page 1 but no clicks → fix title/meta",IF(AND(E96&gt;10,E96&lt;=20,C96&gt;=200),"Page 2 → deepen content / add article",IF(E96&gt;20,"Weak — needs dedicated page","OK"))))</f>
        <v>OK</v>
      </c>
    </row>
    <row r="97" customFormat="false" ht="15" hidden="false" customHeight="false" outlineLevel="0" collapsed="false">
      <c r="A97" s="6" t="s">
        <v>152</v>
      </c>
      <c r="B97" s="6" t="n">
        <v>2</v>
      </c>
      <c r="C97" s="6" t="n">
        <v>15</v>
      </c>
      <c r="D97" s="7" t="n">
        <v>0.1333</v>
      </c>
      <c r="E97" s="8" t="n">
        <v>10</v>
      </c>
      <c r="F97" s="6" t="s">
        <v>56</v>
      </c>
      <c r="G97" s="6" t="n">
        <f aca="false">IF(AND(E97&gt;=3,E97&lt;=20),ROUND(C97*(1-D97)*(1/E97),0),0)</f>
        <v>1</v>
      </c>
      <c r="H97" s="6" t="str">
        <f aca="false">IF(F97="Brand","Brand — already winning",IF(AND(E97&lt;=10,D97&lt;0.02,C97&gt;=200),"Ranks page 1 but no clicks → fix title/meta",IF(AND(E97&gt;10,E97&lt;=20,C97&gt;=200),"Page 2 → deepen content / add article",IF(E97&gt;20,"Weak — needs dedicated page","OK"))))</f>
        <v>OK</v>
      </c>
    </row>
    <row r="98" customFormat="false" ht="15" hidden="false" customHeight="false" outlineLevel="0" collapsed="false">
      <c r="A98" s="6" t="s">
        <v>153</v>
      </c>
      <c r="B98" s="6" t="n">
        <v>2</v>
      </c>
      <c r="C98" s="6" t="n">
        <v>13</v>
      </c>
      <c r="D98" s="7" t="n">
        <v>0.1538</v>
      </c>
      <c r="E98" s="8" t="n">
        <v>6.54</v>
      </c>
      <c r="F98" s="6" t="s">
        <v>78</v>
      </c>
      <c r="G98" s="6" t="n">
        <f aca="false">IF(AND(E98&gt;=3,E98&lt;=20),ROUND(C98*(1-D98)*(1/E98),0),0)</f>
        <v>2</v>
      </c>
      <c r="H98" s="6" t="str">
        <f aca="false">IF(F98="Brand","Brand — already winning",IF(AND(E98&lt;=10,D98&lt;0.02,C98&gt;=200),"Ranks page 1 but no clicks → fix title/meta",IF(AND(E98&gt;10,E98&lt;=20,C98&gt;=200),"Page 2 → deepen content / add article",IF(E98&gt;20,"Weak — needs dedicated page","OK"))))</f>
        <v>OK</v>
      </c>
    </row>
    <row r="99" customFormat="false" ht="15" hidden="false" customHeight="false" outlineLevel="0" collapsed="false">
      <c r="A99" s="6" t="s">
        <v>154</v>
      </c>
      <c r="B99" s="6" t="n">
        <v>2</v>
      </c>
      <c r="C99" s="6" t="n">
        <v>12</v>
      </c>
      <c r="D99" s="7" t="n">
        <v>0.1667</v>
      </c>
      <c r="E99" s="8" t="n">
        <v>4.58</v>
      </c>
      <c r="F99" s="6" t="s">
        <v>99</v>
      </c>
      <c r="G99" s="6" t="n">
        <f aca="false">IF(AND(E99&gt;=3,E99&lt;=20),ROUND(C99*(1-D99)*(1/E99),0),0)</f>
        <v>2</v>
      </c>
      <c r="H99" s="6" t="str">
        <f aca="false">IF(F99="Brand","Brand — already winning",IF(AND(E99&lt;=10,D99&lt;0.02,C99&gt;=200),"Ranks page 1 but no clicks → fix title/meta",IF(AND(E99&gt;10,E99&lt;=20,C99&gt;=200),"Page 2 → deepen content / add article",IF(E99&gt;20,"Weak — needs dedicated page","OK"))))</f>
        <v>OK</v>
      </c>
    </row>
    <row r="100" customFormat="false" ht="15" hidden="false" customHeight="false" outlineLevel="0" collapsed="false">
      <c r="A100" s="6" t="s">
        <v>155</v>
      </c>
      <c r="B100" s="6" t="n">
        <v>2</v>
      </c>
      <c r="C100" s="6" t="n">
        <v>10</v>
      </c>
      <c r="D100" s="7" t="n">
        <v>0.2</v>
      </c>
      <c r="E100" s="8" t="n">
        <v>3.1</v>
      </c>
      <c r="F100" s="6" t="s">
        <v>56</v>
      </c>
      <c r="G100" s="6" t="n">
        <f aca="false">IF(AND(E100&gt;=3,E100&lt;=20),ROUND(C100*(1-D100)*(1/E100),0),0)</f>
        <v>3</v>
      </c>
      <c r="H100" s="6" t="str">
        <f aca="false">IF(F100="Brand","Brand — already winning",IF(AND(E100&lt;=10,D100&lt;0.02,C100&gt;=200),"Ranks page 1 but no clicks → fix title/meta",IF(AND(E100&gt;10,E100&lt;=20,C100&gt;=200),"Page 2 → deepen content / add article",IF(E100&gt;20,"Weak — needs dedicated page","OK"))))</f>
        <v>OK</v>
      </c>
    </row>
    <row r="101" customFormat="false" ht="15" hidden="false" customHeight="false" outlineLevel="0" collapsed="false">
      <c r="A101" s="6" t="s">
        <v>156</v>
      </c>
      <c r="B101" s="6" t="n">
        <v>2</v>
      </c>
      <c r="C101" s="6" t="n">
        <v>9</v>
      </c>
      <c r="D101" s="7" t="n">
        <v>0.2222</v>
      </c>
      <c r="E101" s="8" t="n">
        <v>5.78</v>
      </c>
      <c r="F101" s="6" t="s">
        <v>99</v>
      </c>
      <c r="G101" s="6" t="n">
        <f aca="false">IF(AND(E101&gt;=3,E101&lt;=20),ROUND(C101*(1-D101)*(1/E101),0),0)</f>
        <v>1</v>
      </c>
      <c r="H101" s="6" t="str">
        <f aca="false">IF(F101="Brand","Brand — already winning",IF(AND(E101&lt;=10,D101&lt;0.02,C101&gt;=200),"Ranks page 1 but no clicks → fix title/meta",IF(AND(E101&gt;10,E101&lt;=20,C101&gt;=200),"Page 2 → deepen content / add article",IF(E101&gt;20,"Weak — needs dedicated page","OK"))))</f>
        <v>OK</v>
      </c>
    </row>
    <row r="102" customFormat="false" ht="15" hidden="false" customHeight="false" outlineLevel="0" collapsed="false">
      <c r="A102" s="6" t="s">
        <v>157</v>
      </c>
      <c r="B102" s="6" t="n">
        <v>2</v>
      </c>
      <c r="C102" s="6" t="n">
        <v>9</v>
      </c>
      <c r="D102" s="7" t="n">
        <v>0.2222</v>
      </c>
      <c r="E102" s="8" t="n">
        <v>6.11</v>
      </c>
      <c r="F102" s="6" t="s">
        <v>99</v>
      </c>
      <c r="G102" s="6" t="n">
        <f aca="false">IF(AND(E102&gt;=3,E102&lt;=20),ROUND(C102*(1-D102)*(1/E102),0),0)</f>
        <v>1</v>
      </c>
      <c r="H102" s="6" t="str">
        <f aca="false">IF(F102="Brand","Brand — already winning",IF(AND(E102&lt;=10,D102&lt;0.02,C102&gt;=200),"Ranks page 1 but no clicks → fix title/meta",IF(AND(E102&gt;10,E102&lt;=20,C102&gt;=200),"Page 2 → deepen content / add article",IF(E102&gt;20,"Weak — needs dedicated page","OK"))))</f>
        <v>OK</v>
      </c>
    </row>
    <row r="103" customFormat="false" ht="15" hidden="false" customHeight="false" outlineLevel="0" collapsed="false">
      <c r="A103" s="6" t="s">
        <v>158</v>
      </c>
      <c r="B103" s="6" t="n">
        <v>2</v>
      </c>
      <c r="C103" s="6" t="n">
        <v>9</v>
      </c>
      <c r="D103" s="7" t="n">
        <v>0.2222</v>
      </c>
      <c r="E103" s="8" t="n">
        <v>6.33</v>
      </c>
      <c r="F103" s="6" t="s">
        <v>54</v>
      </c>
      <c r="G103" s="6" t="n">
        <f aca="false">IF(AND(E103&gt;=3,E103&lt;=20),ROUND(C103*(1-D103)*(1/E103),0),0)</f>
        <v>1</v>
      </c>
      <c r="H103" s="6" t="str">
        <f aca="false">IF(F103="Brand","Brand — already winning",IF(AND(E103&lt;=10,D103&lt;0.02,C103&gt;=200),"Ranks page 1 but no clicks → fix title/meta",IF(AND(E103&gt;10,E103&lt;=20,C103&gt;=200),"Page 2 → deepen content / add article",IF(E103&gt;20,"Weak — needs dedicated page","OK"))))</f>
        <v>OK</v>
      </c>
    </row>
    <row r="104" customFormat="false" ht="15" hidden="false" customHeight="false" outlineLevel="0" collapsed="false">
      <c r="A104" s="6" t="s">
        <v>159</v>
      </c>
      <c r="B104" s="6" t="n">
        <v>2</v>
      </c>
      <c r="C104" s="6" t="n">
        <v>8</v>
      </c>
      <c r="D104" s="7" t="n">
        <v>0.25</v>
      </c>
      <c r="E104" s="8" t="n">
        <v>6.62</v>
      </c>
      <c r="F104" s="6" t="s">
        <v>54</v>
      </c>
      <c r="G104" s="6" t="n">
        <f aca="false">IF(AND(E104&gt;=3,E104&lt;=20),ROUND(C104*(1-D104)*(1/E104),0),0)</f>
        <v>1</v>
      </c>
      <c r="H104" s="6" t="str">
        <f aca="false">IF(F104="Brand","Brand — already winning",IF(AND(E104&lt;=10,D104&lt;0.02,C104&gt;=200),"Ranks page 1 but no clicks → fix title/meta",IF(AND(E104&gt;10,E104&lt;=20,C104&gt;=200),"Page 2 → deepen content / add article",IF(E104&gt;20,"Weak — needs dedicated page","OK"))))</f>
        <v>OK</v>
      </c>
    </row>
    <row r="105" customFormat="false" ht="15" hidden="false" customHeight="false" outlineLevel="0" collapsed="false">
      <c r="A105" s="6" t="s">
        <v>160</v>
      </c>
      <c r="B105" s="6" t="n">
        <v>2</v>
      </c>
      <c r="C105" s="6" t="n">
        <v>7</v>
      </c>
      <c r="D105" s="7" t="n">
        <v>0.2857</v>
      </c>
      <c r="E105" s="8" t="n">
        <v>3</v>
      </c>
      <c r="F105" s="6" t="s">
        <v>68</v>
      </c>
      <c r="G105" s="6" t="n">
        <f aca="false">IF(AND(E105&gt;=3,E105&lt;=20),ROUND(C105*(1-D105)*(1/E105),0),0)</f>
        <v>2</v>
      </c>
      <c r="H105" s="6" t="str">
        <f aca="false">IF(F105="Brand","Brand — already winning",IF(AND(E105&lt;=10,D105&lt;0.02,C105&gt;=200),"Ranks page 1 but no clicks → fix title/meta",IF(AND(E105&gt;10,E105&lt;=20,C105&gt;=200),"Page 2 → deepen content / add article",IF(E105&gt;20,"Weak — needs dedicated page","OK"))))</f>
        <v>OK</v>
      </c>
    </row>
    <row r="106" customFormat="false" ht="15" hidden="false" customHeight="false" outlineLevel="0" collapsed="false">
      <c r="A106" s="6" t="s">
        <v>161</v>
      </c>
      <c r="B106" s="6" t="n">
        <v>2</v>
      </c>
      <c r="C106" s="6" t="n">
        <v>6</v>
      </c>
      <c r="D106" s="7" t="n">
        <v>0.3333</v>
      </c>
      <c r="E106" s="8" t="n">
        <v>26</v>
      </c>
      <c r="F106" s="6" t="s">
        <v>162</v>
      </c>
      <c r="G106" s="6" t="n">
        <f aca="false">IF(AND(E106&gt;=3,E106&lt;=20),ROUND(C106*(1-D106)*(1/E106),0),0)</f>
        <v>0</v>
      </c>
      <c r="H106" s="6" t="str">
        <f aca="false">IF(F106="Brand","Brand — already winning",IF(AND(E106&lt;=10,D106&lt;0.02,C106&gt;=200),"Ranks page 1 but no clicks → fix title/meta",IF(AND(E106&gt;10,E106&lt;=20,C106&gt;=200),"Page 2 → deepen content / add article",IF(E106&gt;20,"Weak — needs dedicated page","OK"))))</f>
        <v>Weak — needs dedicated page</v>
      </c>
    </row>
    <row r="107" customFormat="false" ht="15" hidden="false" customHeight="false" outlineLevel="0" collapsed="false">
      <c r="A107" s="6" t="s">
        <v>163</v>
      </c>
      <c r="B107" s="6" t="n">
        <v>2</v>
      </c>
      <c r="C107" s="6" t="n">
        <v>5</v>
      </c>
      <c r="D107" s="7" t="n">
        <v>0.4</v>
      </c>
      <c r="E107" s="8" t="n">
        <v>6</v>
      </c>
      <c r="F107" s="6" t="s">
        <v>56</v>
      </c>
      <c r="G107" s="6" t="n">
        <f aca="false">IF(AND(E107&gt;=3,E107&lt;=20),ROUND(C107*(1-D107)*(1/E107),0),0)</f>
        <v>1</v>
      </c>
      <c r="H107" s="6" t="str">
        <f aca="false">IF(F107="Brand","Brand — already winning",IF(AND(E107&lt;=10,D107&lt;0.02,C107&gt;=200),"Ranks page 1 but no clicks → fix title/meta",IF(AND(E107&gt;10,E107&lt;=20,C107&gt;=200),"Page 2 → deepen content / add article",IF(E107&gt;20,"Weak — needs dedicated page","OK"))))</f>
        <v>OK</v>
      </c>
    </row>
    <row r="108" customFormat="false" ht="15" hidden="false" customHeight="false" outlineLevel="0" collapsed="false">
      <c r="A108" s="6" t="s">
        <v>164</v>
      </c>
      <c r="B108" s="6" t="n">
        <v>2</v>
      </c>
      <c r="C108" s="6" t="n">
        <v>5</v>
      </c>
      <c r="D108" s="7" t="n">
        <v>0.4</v>
      </c>
      <c r="E108" s="8" t="n">
        <v>16.8</v>
      </c>
      <c r="F108" s="6" t="s">
        <v>54</v>
      </c>
      <c r="G108" s="6" t="n">
        <f aca="false">IF(AND(E108&gt;=3,E108&lt;=20),ROUND(C108*(1-D108)*(1/E108),0),0)</f>
        <v>0</v>
      </c>
      <c r="H108" s="6" t="str">
        <f aca="false">IF(F108="Brand","Brand — already winning",IF(AND(E108&lt;=10,D108&lt;0.02,C108&gt;=200),"Ranks page 1 but no clicks → fix title/meta",IF(AND(E108&gt;10,E108&lt;=20,C108&gt;=200),"Page 2 → deepen content / add article",IF(E108&gt;20,"Weak — needs dedicated page","OK"))))</f>
        <v>OK</v>
      </c>
    </row>
    <row r="109" customFormat="false" ht="15" hidden="false" customHeight="false" outlineLevel="0" collapsed="false">
      <c r="A109" s="6" t="s">
        <v>165</v>
      </c>
      <c r="B109" s="6" t="n">
        <v>2</v>
      </c>
      <c r="C109" s="6" t="n">
        <v>4</v>
      </c>
      <c r="D109" s="7" t="n">
        <v>0.5</v>
      </c>
      <c r="E109" s="8" t="n">
        <v>13</v>
      </c>
      <c r="F109" s="6" t="s">
        <v>68</v>
      </c>
      <c r="G109" s="6" t="n">
        <f aca="false">IF(AND(E109&gt;=3,E109&lt;=20),ROUND(C109*(1-D109)*(1/E109),0),0)</f>
        <v>0</v>
      </c>
      <c r="H109" s="6" t="str">
        <f aca="false">IF(F109="Brand","Brand — already winning",IF(AND(E109&lt;=10,D109&lt;0.02,C109&gt;=200),"Ranks page 1 but no clicks → fix title/meta",IF(AND(E109&gt;10,E109&lt;=20,C109&gt;=200),"Page 2 → deepen content / add article",IF(E109&gt;20,"Weak — needs dedicated page","OK"))))</f>
        <v>OK</v>
      </c>
    </row>
    <row r="110" customFormat="false" ht="15" hidden="false" customHeight="false" outlineLevel="0" collapsed="false">
      <c r="A110" s="6" t="s">
        <v>166</v>
      </c>
      <c r="B110" s="6" t="n">
        <v>2</v>
      </c>
      <c r="C110" s="6" t="n">
        <v>2</v>
      </c>
      <c r="D110" s="7" t="n">
        <v>1</v>
      </c>
      <c r="E110" s="8" t="n">
        <v>1</v>
      </c>
      <c r="F110" s="6" t="s">
        <v>61</v>
      </c>
      <c r="G110" s="6" t="n">
        <f aca="false">IF(AND(E110&gt;=3,E110&lt;=20),ROUND(C110*(1-D110)*(1/E110),0),0)</f>
        <v>0</v>
      </c>
      <c r="H110" s="6" t="str">
        <f aca="false">IF(F110="Brand","Brand — already winning",IF(AND(E110&lt;=10,D110&lt;0.02,C110&gt;=200),"Ranks page 1 but no clicks → fix title/meta",IF(AND(E110&gt;10,E110&lt;=20,C110&gt;=200),"Page 2 → deepen content / add article",IF(E110&gt;20,"Weak — needs dedicated page","OK"))))</f>
        <v>OK</v>
      </c>
    </row>
    <row r="111" customFormat="false" ht="15" hidden="false" customHeight="false" outlineLevel="0" collapsed="false">
      <c r="A111" s="6" t="s">
        <v>167</v>
      </c>
      <c r="B111" s="6" t="n">
        <v>1</v>
      </c>
      <c r="C111" s="6" t="n">
        <v>2183</v>
      </c>
      <c r="D111" s="7" t="n">
        <v>0.0005</v>
      </c>
      <c r="E111" s="8" t="n">
        <v>4.09</v>
      </c>
      <c r="F111" s="6" t="s">
        <v>90</v>
      </c>
      <c r="G111" s="6" t="n">
        <f aca="false">IF(AND(E111&gt;=3,E111&lt;=20),ROUND(C111*(1-D111)*(1/E111),0),0)</f>
        <v>533</v>
      </c>
      <c r="H111" s="6" t="str">
        <f aca="false">IF(F111="Brand","Brand — already winning",IF(AND(E111&lt;=10,D111&lt;0.02,C111&gt;=200),"Ranks page 1 but no clicks → fix title/meta",IF(AND(E111&gt;10,E111&lt;=20,C111&gt;=200),"Page 2 → deepen content / add article",IF(E111&gt;20,"Weak — needs dedicated page","OK"))))</f>
        <v>Ranks page 1 but no clicks → fix title/meta</v>
      </c>
    </row>
    <row r="112" customFormat="false" ht="15" hidden="false" customHeight="false" outlineLevel="0" collapsed="false">
      <c r="A112" s="6" t="s">
        <v>168</v>
      </c>
      <c r="B112" s="6" t="n">
        <v>1</v>
      </c>
      <c r="C112" s="6" t="n">
        <v>1486</v>
      </c>
      <c r="D112" s="7" t="n">
        <v>0.0007</v>
      </c>
      <c r="E112" s="8" t="n">
        <v>3.66</v>
      </c>
      <c r="F112" s="6" t="s">
        <v>90</v>
      </c>
      <c r="G112" s="6" t="n">
        <f aca="false">IF(AND(E112&gt;=3,E112&lt;=20),ROUND(C112*(1-D112)*(1/E112),0),0)</f>
        <v>406</v>
      </c>
      <c r="H112" s="6" t="str">
        <f aca="false">IF(F112="Brand","Brand — already winning",IF(AND(E112&lt;=10,D112&lt;0.02,C112&gt;=200),"Ranks page 1 but no clicks → fix title/meta",IF(AND(E112&gt;10,E112&lt;=20,C112&gt;=200),"Page 2 → deepen content / add article",IF(E112&gt;20,"Weak — needs dedicated page","OK"))))</f>
        <v>Ranks page 1 but no clicks → fix title/meta</v>
      </c>
    </row>
    <row r="113" customFormat="false" ht="15" hidden="false" customHeight="false" outlineLevel="0" collapsed="false">
      <c r="A113" s="6" t="s">
        <v>169</v>
      </c>
      <c r="B113" s="6" t="n">
        <v>1</v>
      </c>
      <c r="C113" s="6" t="n">
        <v>1204</v>
      </c>
      <c r="D113" s="7" t="n">
        <v>0.0008</v>
      </c>
      <c r="E113" s="8" t="n">
        <v>3.88</v>
      </c>
      <c r="F113" s="6" t="s">
        <v>90</v>
      </c>
      <c r="G113" s="6" t="n">
        <f aca="false">IF(AND(E113&gt;=3,E113&lt;=20),ROUND(C113*(1-D113)*(1/E113),0),0)</f>
        <v>310</v>
      </c>
      <c r="H113" s="6" t="str">
        <f aca="false">IF(F113="Brand","Brand — already winning",IF(AND(E113&lt;=10,D113&lt;0.02,C113&gt;=200),"Ranks page 1 but no clicks → fix title/meta",IF(AND(E113&gt;10,E113&lt;=20,C113&gt;=200),"Page 2 → deepen content / add article",IF(E113&gt;20,"Weak — needs dedicated page","OK"))))</f>
        <v>Ranks page 1 but no clicks → fix title/meta</v>
      </c>
    </row>
    <row r="114" customFormat="false" ht="15" hidden="false" customHeight="false" outlineLevel="0" collapsed="false">
      <c r="A114" s="6" t="s">
        <v>170</v>
      </c>
      <c r="B114" s="6" t="n">
        <v>1</v>
      </c>
      <c r="C114" s="6" t="n">
        <v>1098</v>
      </c>
      <c r="D114" s="7" t="n">
        <v>0.0009</v>
      </c>
      <c r="E114" s="8" t="n">
        <v>11.69</v>
      </c>
      <c r="F114" s="6" t="s">
        <v>90</v>
      </c>
      <c r="G114" s="6" t="n">
        <f aca="false">IF(AND(E114&gt;=3,E114&lt;=20),ROUND(C114*(1-D114)*(1/E114),0),0)</f>
        <v>94</v>
      </c>
      <c r="H114" s="6" t="str">
        <f aca="false">IF(F114="Brand","Brand — already winning",IF(AND(E114&lt;=10,D114&lt;0.02,C114&gt;=200),"Ranks page 1 but no clicks → fix title/meta",IF(AND(E114&gt;10,E114&lt;=20,C114&gt;=200),"Page 2 → deepen content / add article",IF(E114&gt;20,"Weak — needs dedicated page","OK"))))</f>
        <v>Page 2 → deepen content / add article</v>
      </c>
    </row>
    <row r="115" customFormat="false" ht="15" hidden="false" customHeight="false" outlineLevel="0" collapsed="false">
      <c r="A115" s="6" t="s">
        <v>171</v>
      </c>
      <c r="B115" s="6" t="n">
        <v>1</v>
      </c>
      <c r="C115" s="6" t="n">
        <v>922</v>
      </c>
      <c r="D115" s="7" t="n">
        <v>0.0011</v>
      </c>
      <c r="E115" s="8" t="n">
        <v>17.13</v>
      </c>
      <c r="F115" s="6" t="s">
        <v>48</v>
      </c>
      <c r="G115" s="6" t="n">
        <f aca="false">IF(AND(E115&gt;=3,E115&lt;=20),ROUND(C115*(1-D115)*(1/E115),0),0)</f>
        <v>54</v>
      </c>
      <c r="H115" s="6" t="str">
        <f aca="false">IF(F115="Brand","Brand — already winning",IF(AND(E115&lt;=10,D115&lt;0.02,C115&gt;=200),"Ranks page 1 but no clicks → fix title/meta",IF(AND(E115&gt;10,E115&lt;=20,C115&gt;=200),"Page 2 → deepen content / add article",IF(E115&gt;20,"Weak — needs dedicated page","OK"))))</f>
        <v>Page 2 → deepen content / add article</v>
      </c>
    </row>
    <row r="116" customFormat="false" ht="15" hidden="false" customHeight="false" outlineLevel="0" collapsed="false">
      <c r="A116" s="6" t="s">
        <v>172</v>
      </c>
      <c r="B116" s="6" t="n">
        <v>1</v>
      </c>
      <c r="C116" s="6" t="n">
        <v>481</v>
      </c>
      <c r="D116" s="7" t="n">
        <v>0.0021</v>
      </c>
      <c r="E116" s="8" t="n">
        <v>8.36</v>
      </c>
      <c r="F116" s="6" t="s">
        <v>68</v>
      </c>
      <c r="G116" s="6" t="n">
        <f aca="false">IF(AND(E116&gt;=3,E116&lt;=20),ROUND(C116*(1-D116)*(1/E116),0),0)</f>
        <v>57</v>
      </c>
      <c r="H116" s="6" t="str">
        <f aca="false">IF(F116="Brand","Brand — already winning",IF(AND(E116&lt;=10,D116&lt;0.02,C116&gt;=200),"Ranks page 1 but no clicks → fix title/meta",IF(AND(E116&gt;10,E116&lt;=20,C116&gt;=200),"Page 2 → deepen content / add article",IF(E116&gt;20,"Weak — needs dedicated page","OK"))))</f>
        <v>Ranks page 1 but no clicks → fix title/meta</v>
      </c>
    </row>
    <row r="117" customFormat="false" ht="15" hidden="false" customHeight="false" outlineLevel="0" collapsed="false">
      <c r="A117" s="6" t="s">
        <v>173</v>
      </c>
      <c r="B117" s="6" t="n">
        <v>1</v>
      </c>
      <c r="C117" s="6" t="n">
        <v>414</v>
      </c>
      <c r="D117" s="7" t="n">
        <v>0.0024</v>
      </c>
      <c r="E117" s="8" t="n">
        <v>11.65</v>
      </c>
      <c r="F117" s="6" t="s">
        <v>48</v>
      </c>
      <c r="G117" s="6" t="n">
        <f aca="false">IF(AND(E117&gt;=3,E117&lt;=20),ROUND(C117*(1-D117)*(1/E117),0),0)</f>
        <v>35</v>
      </c>
      <c r="H117" s="6" t="str">
        <f aca="false">IF(F117="Brand","Brand — already winning",IF(AND(E117&lt;=10,D117&lt;0.02,C117&gt;=200),"Ranks page 1 but no clicks → fix title/meta",IF(AND(E117&gt;10,E117&lt;=20,C117&gt;=200),"Page 2 → deepen content / add article",IF(E117&gt;20,"Weak — needs dedicated page","OK"))))</f>
        <v>Page 2 → deepen content / add article</v>
      </c>
    </row>
    <row r="118" customFormat="false" ht="15" hidden="false" customHeight="false" outlineLevel="0" collapsed="false">
      <c r="A118" s="6" t="s">
        <v>174</v>
      </c>
      <c r="B118" s="6" t="n">
        <v>1</v>
      </c>
      <c r="C118" s="6" t="n">
        <v>389</v>
      </c>
      <c r="D118" s="7" t="n">
        <v>0.0026</v>
      </c>
      <c r="E118" s="8" t="n">
        <v>7.55</v>
      </c>
      <c r="F118" s="6" t="s">
        <v>43</v>
      </c>
      <c r="G118" s="6" t="n">
        <f aca="false">IF(AND(E118&gt;=3,E118&lt;=20),ROUND(C118*(1-D118)*(1/E118),0),0)</f>
        <v>51</v>
      </c>
      <c r="H118" s="6" t="str">
        <f aca="false">IF(F118="Brand","Brand — already winning",IF(AND(E118&lt;=10,D118&lt;0.02,C118&gt;=200),"Ranks page 1 but no clicks → fix title/meta",IF(AND(E118&gt;10,E118&lt;=20,C118&gt;=200),"Page 2 → deepen content / add article",IF(E118&gt;20,"Weak — needs dedicated page","OK"))))</f>
        <v>Brand — already winning</v>
      </c>
    </row>
    <row r="119" customFormat="false" ht="15" hidden="false" customHeight="false" outlineLevel="0" collapsed="false">
      <c r="A119" s="6" t="s">
        <v>175</v>
      </c>
      <c r="B119" s="6" t="n">
        <v>1</v>
      </c>
      <c r="C119" s="6" t="n">
        <v>255</v>
      </c>
      <c r="D119" s="7" t="n">
        <v>0.0039</v>
      </c>
      <c r="E119" s="8" t="n">
        <v>6.85</v>
      </c>
      <c r="F119" s="6" t="s">
        <v>48</v>
      </c>
      <c r="G119" s="6" t="n">
        <f aca="false">IF(AND(E119&gt;=3,E119&lt;=20),ROUND(C119*(1-D119)*(1/E119),0),0)</f>
        <v>37</v>
      </c>
      <c r="H119" s="6" t="str">
        <f aca="false">IF(F119="Brand","Brand — already winning",IF(AND(E119&lt;=10,D119&lt;0.02,C119&gt;=200),"Ranks page 1 but no clicks → fix title/meta",IF(AND(E119&gt;10,E119&lt;=20,C119&gt;=200),"Page 2 → deepen content / add article",IF(E119&gt;20,"Weak — needs dedicated page","OK"))))</f>
        <v>Ranks page 1 but no clicks → fix title/meta</v>
      </c>
    </row>
    <row r="120" customFormat="false" ht="15" hidden="false" customHeight="false" outlineLevel="0" collapsed="false">
      <c r="A120" s="6" t="s">
        <v>176</v>
      </c>
      <c r="B120" s="6" t="n">
        <v>1</v>
      </c>
      <c r="C120" s="6" t="n">
        <v>192</v>
      </c>
      <c r="D120" s="7" t="n">
        <v>0.0052</v>
      </c>
      <c r="E120" s="8" t="n">
        <v>9.95</v>
      </c>
      <c r="F120" s="6" t="s">
        <v>48</v>
      </c>
      <c r="G120" s="6" t="n">
        <f aca="false">IF(AND(E120&gt;=3,E120&lt;=20),ROUND(C120*(1-D120)*(1/E120),0),0)</f>
        <v>19</v>
      </c>
      <c r="H120" s="6" t="str">
        <f aca="false">IF(F120="Brand","Brand — already winning",IF(AND(E120&lt;=10,D120&lt;0.02,C120&gt;=200),"Ranks page 1 but no clicks → fix title/meta",IF(AND(E120&gt;10,E120&lt;=20,C120&gt;=200),"Page 2 → deepen content / add article",IF(E120&gt;20,"Weak — needs dedicated page","OK"))))</f>
        <v>OK</v>
      </c>
    </row>
    <row r="121" customFormat="false" ht="15" hidden="false" customHeight="false" outlineLevel="0" collapsed="false">
      <c r="A121" s="6" t="s">
        <v>177</v>
      </c>
      <c r="B121" s="6" t="n">
        <v>1</v>
      </c>
      <c r="C121" s="6" t="n">
        <v>186</v>
      </c>
      <c r="D121" s="7" t="n">
        <v>0.0054</v>
      </c>
      <c r="E121" s="8" t="n">
        <v>4.81</v>
      </c>
      <c r="F121" s="6" t="s">
        <v>90</v>
      </c>
      <c r="G121" s="6" t="n">
        <f aca="false">IF(AND(E121&gt;=3,E121&lt;=20),ROUND(C121*(1-D121)*(1/E121),0),0)</f>
        <v>38</v>
      </c>
      <c r="H121" s="6" t="str">
        <f aca="false">IF(F121="Brand","Brand — already winning",IF(AND(E121&lt;=10,D121&lt;0.02,C121&gt;=200),"Ranks page 1 but no clicks → fix title/meta",IF(AND(E121&gt;10,E121&lt;=20,C121&gt;=200),"Page 2 → deepen content / add article",IF(E121&gt;20,"Weak — needs dedicated page","OK"))))</f>
        <v>OK</v>
      </c>
    </row>
    <row r="122" customFormat="false" ht="15" hidden="false" customHeight="false" outlineLevel="0" collapsed="false">
      <c r="A122" s="6" t="s">
        <v>178</v>
      </c>
      <c r="B122" s="6" t="n">
        <v>1</v>
      </c>
      <c r="C122" s="6" t="n">
        <v>184</v>
      </c>
      <c r="D122" s="7" t="n">
        <v>0.0054</v>
      </c>
      <c r="E122" s="8" t="n">
        <v>7.14</v>
      </c>
      <c r="F122" s="6" t="s">
        <v>90</v>
      </c>
      <c r="G122" s="6" t="n">
        <f aca="false">IF(AND(E122&gt;=3,E122&lt;=20),ROUND(C122*(1-D122)*(1/E122),0),0)</f>
        <v>26</v>
      </c>
      <c r="H122" s="6" t="str">
        <f aca="false">IF(F122="Brand","Brand — already winning",IF(AND(E122&lt;=10,D122&lt;0.02,C122&gt;=200),"Ranks page 1 but no clicks → fix title/meta",IF(AND(E122&gt;10,E122&lt;=20,C122&gt;=200),"Page 2 → deepen content / add article",IF(E122&gt;20,"Weak — needs dedicated page","OK"))))</f>
        <v>OK</v>
      </c>
    </row>
    <row r="123" customFormat="false" ht="15" hidden="false" customHeight="false" outlineLevel="0" collapsed="false">
      <c r="A123" s="6" t="s">
        <v>179</v>
      </c>
      <c r="B123" s="6" t="n">
        <v>1</v>
      </c>
      <c r="C123" s="6" t="n">
        <v>162</v>
      </c>
      <c r="D123" s="7" t="n">
        <v>0.0062</v>
      </c>
      <c r="E123" s="8" t="n">
        <v>6.02</v>
      </c>
      <c r="F123" s="6" t="s">
        <v>48</v>
      </c>
      <c r="G123" s="6" t="n">
        <f aca="false">IF(AND(E123&gt;=3,E123&lt;=20),ROUND(C123*(1-D123)*(1/E123),0),0)</f>
        <v>27</v>
      </c>
      <c r="H123" s="6" t="str">
        <f aca="false">IF(F123="Brand","Brand — already winning",IF(AND(E123&lt;=10,D123&lt;0.02,C123&gt;=200),"Ranks page 1 but no clicks → fix title/meta",IF(AND(E123&gt;10,E123&lt;=20,C123&gt;=200),"Page 2 → deepen content / add article",IF(E123&gt;20,"Weak — needs dedicated page","OK"))))</f>
        <v>OK</v>
      </c>
    </row>
    <row r="124" customFormat="false" ht="15" hidden="false" customHeight="false" outlineLevel="0" collapsed="false">
      <c r="A124" s="6" t="s">
        <v>180</v>
      </c>
      <c r="B124" s="6" t="n">
        <v>1</v>
      </c>
      <c r="C124" s="6" t="n">
        <v>149</v>
      </c>
      <c r="D124" s="7" t="n">
        <v>0.0067</v>
      </c>
      <c r="E124" s="8" t="n">
        <v>41.82</v>
      </c>
      <c r="F124" s="6" t="s">
        <v>56</v>
      </c>
      <c r="G124" s="6" t="n">
        <f aca="false">IF(AND(E124&gt;=3,E124&lt;=20),ROUND(C124*(1-D124)*(1/E124),0),0)</f>
        <v>0</v>
      </c>
      <c r="H124" s="6" t="str">
        <f aca="false">IF(F124="Brand","Brand — already winning",IF(AND(E124&lt;=10,D124&lt;0.02,C124&gt;=200),"Ranks page 1 but no clicks → fix title/meta",IF(AND(E124&gt;10,E124&lt;=20,C124&gt;=200),"Page 2 → deepen content / add article",IF(E124&gt;20,"Weak — needs dedicated page","OK"))))</f>
        <v>Weak — needs dedicated page</v>
      </c>
    </row>
    <row r="125" customFormat="false" ht="15" hidden="false" customHeight="false" outlineLevel="0" collapsed="false">
      <c r="A125" s="6" t="s">
        <v>181</v>
      </c>
      <c r="B125" s="6" t="n">
        <v>1</v>
      </c>
      <c r="C125" s="6" t="n">
        <v>144</v>
      </c>
      <c r="D125" s="7" t="n">
        <v>0.0069</v>
      </c>
      <c r="E125" s="8" t="n">
        <v>5.01</v>
      </c>
      <c r="F125" s="6" t="s">
        <v>48</v>
      </c>
      <c r="G125" s="6" t="n">
        <f aca="false">IF(AND(E125&gt;=3,E125&lt;=20),ROUND(C125*(1-D125)*(1/E125),0),0)</f>
        <v>29</v>
      </c>
      <c r="H125" s="6" t="str">
        <f aca="false">IF(F125="Brand","Brand — already winning",IF(AND(E125&lt;=10,D125&lt;0.02,C125&gt;=200),"Ranks page 1 but no clicks → fix title/meta",IF(AND(E125&gt;10,E125&lt;=20,C125&gt;=200),"Page 2 → deepen content / add article",IF(E125&gt;20,"Weak — needs dedicated page","OK"))))</f>
        <v>OK</v>
      </c>
    </row>
    <row r="126" customFormat="false" ht="15" hidden="false" customHeight="false" outlineLevel="0" collapsed="false">
      <c r="A126" s="6" t="s">
        <v>182</v>
      </c>
      <c r="B126" s="6" t="n">
        <v>1</v>
      </c>
      <c r="C126" s="6" t="n">
        <v>143</v>
      </c>
      <c r="D126" s="7" t="n">
        <v>0.007</v>
      </c>
      <c r="E126" s="8" t="n">
        <v>5.27</v>
      </c>
      <c r="F126" s="6" t="s">
        <v>48</v>
      </c>
      <c r="G126" s="6" t="n">
        <f aca="false">IF(AND(E126&gt;=3,E126&lt;=20),ROUND(C126*(1-D126)*(1/E126),0),0)</f>
        <v>27</v>
      </c>
      <c r="H126" s="6" t="str">
        <f aca="false">IF(F126="Brand","Brand — already winning",IF(AND(E126&lt;=10,D126&lt;0.02,C126&gt;=200),"Ranks page 1 but no clicks → fix title/meta",IF(AND(E126&gt;10,E126&lt;=20,C126&gt;=200),"Page 2 → deepen content / add article",IF(E126&gt;20,"Weak — needs dedicated page","OK"))))</f>
        <v>OK</v>
      </c>
    </row>
    <row r="127" customFormat="false" ht="15" hidden="false" customHeight="false" outlineLevel="0" collapsed="false">
      <c r="A127" s="6" t="s">
        <v>183</v>
      </c>
      <c r="B127" s="6" t="n">
        <v>1</v>
      </c>
      <c r="C127" s="6" t="n">
        <v>120</v>
      </c>
      <c r="D127" s="7" t="n">
        <v>0.0083</v>
      </c>
      <c r="E127" s="8" t="n">
        <v>2.03</v>
      </c>
      <c r="F127" s="6" t="s">
        <v>54</v>
      </c>
      <c r="G127" s="6" t="n">
        <f aca="false">IF(AND(E127&gt;=3,E127&lt;=20),ROUND(C127*(1-D127)*(1/E127),0),0)</f>
        <v>0</v>
      </c>
      <c r="H127" s="6" t="str">
        <f aca="false">IF(F127="Brand","Brand — already winning",IF(AND(E127&lt;=10,D127&lt;0.02,C127&gt;=200),"Ranks page 1 but no clicks → fix title/meta",IF(AND(E127&gt;10,E127&lt;=20,C127&gt;=200),"Page 2 → deepen content / add article",IF(E127&gt;20,"Weak — needs dedicated page","OK"))))</f>
        <v>OK</v>
      </c>
    </row>
    <row r="128" customFormat="false" ht="15" hidden="false" customHeight="false" outlineLevel="0" collapsed="false">
      <c r="A128" s="6" t="s">
        <v>184</v>
      </c>
      <c r="B128" s="6" t="n">
        <v>1</v>
      </c>
      <c r="C128" s="6" t="n">
        <v>114</v>
      </c>
      <c r="D128" s="7" t="n">
        <v>0.0088</v>
      </c>
      <c r="E128" s="8" t="n">
        <v>10.86</v>
      </c>
      <c r="F128" s="6" t="s">
        <v>43</v>
      </c>
      <c r="G128" s="6" t="n">
        <f aca="false">IF(AND(E128&gt;=3,E128&lt;=20),ROUND(C128*(1-D128)*(1/E128),0),0)</f>
        <v>10</v>
      </c>
      <c r="H128" s="6" t="str">
        <f aca="false">IF(F128="Brand","Brand — already winning",IF(AND(E128&lt;=10,D128&lt;0.02,C128&gt;=200),"Ranks page 1 but no clicks → fix title/meta",IF(AND(E128&gt;10,E128&lt;=20,C128&gt;=200),"Page 2 → deepen content / add article",IF(E128&gt;20,"Weak — needs dedicated page","OK"))))</f>
        <v>Brand — already winning</v>
      </c>
    </row>
    <row r="129" customFormat="false" ht="15" hidden="false" customHeight="false" outlineLevel="0" collapsed="false">
      <c r="A129" s="6" t="s">
        <v>185</v>
      </c>
      <c r="B129" s="6" t="n">
        <v>1</v>
      </c>
      <c r="C129" s="6" t="n">
        <v>110</v>
      </c>
      <c r="D129" s="7" t="n">
        <v>0.0091</v>
      </c>
      <c r="E129" s="8" t="n">
        <v>3.57</v>
      </c>
      <c r="F129" s="6" t="s">
        <v>48</v>
      </c>
      <c r="G129" s="6" t="n">
        <f aca="false">IF(AND(E129&gt;=3,E129&lt;=20),ROUND(C129*(1-D129)*(1/E129),0),0)</f>
        <v>31</v>
      </c>
      <c r="H129" s="6" t="str">
        <f aca="false">IF(F129="Brand","Brand — already winning",IF(AND(E129&lt;=10,D129&lt;0.02,C129&gt;=200),"Ranks page 1 but no clicks → fix title/meta",IF(AND(E129&gt;10,E129&lt;=20,C129&gt;=200),"Page 2 → deepen content / add article",IF(E129&gt;20,"Weak — needs dedicated page","OK"))))</f>
        <v>OK</v>
      </c>
    </row>
    <row r="130" customFormat="false" ht="15" hidden="false" customHeight="false" outlineLevel="0" collapsed="false">
      <c r="A130" s="6" t="s">
        <v>186</v>
      </c>
      <c r="B130" s="6" t="n">
        <v>1</v>
      </c>
      <c r="C130" s="6" t="n">
        <v>110</v>
      </c>
      <c r="D130" s="7" t="n">
        <v>0.0091</v>
      </c>
      <c r="E130" s="8" t="n">
        <v>7.72</v>
      </c>
      <c r="F130" s="6" t="s">
        <v>58</v>
      </c>
      <c r="G130" s="6" t="n">
        <f aca="false">IF(AND(E130&gt;=3,E130&lt;=20),ROUND(C130*(1-D130)*(1/E130),0),0)</f>
        <v>14</v>
      </c>
      <c r="H130" s="6" t="str">
        <f aca="false">IF(F130="Brand","Brand — already winning",IF(AND(E130&lt;=10,D130&lt;0.02,C130&gt;=200),"Ranks page 1 but no clicks → fix title/meta",IF(AND(E130&gt;10,E130&lt;=20,C130&gt;=200),"Page 2 → deepen content / add article",IF(E130&gt;20,"Weak — needs dedicated page","OK"))))</f>
        <v>OK</v>
      </c>
    </row>
    <row r="131" customFormat="false" ht="15" hidden="false" customHeight="false" outlineLevel="0" collapsed="false">
      <c r="A131" s="6" t="s">
        <v>187</v>
      </c>
      <c r="B131" s="6" t="n">
        <v>1</v>
      </c>
      <c r="C131" s="6" t="n">
        <v>110</v>
      </c>
      <c r="D131" s="7" t="n">
        <v>0.0091</v>
      </c>
      <c r="E131" s="8" t="n">
        <v>11.09</v>
      </c>
      <c r="F131" s="6" t="s">
        <v>48</v>
      </c>
      <c r="G131" s="6" t="n">
        <f aca="false">IF(AND(E131&gt;=3,E131&lt;=20),ROUND(C131*(1-D131)*(1/E131),0),0)</f>
        <v>10</v>
      </c>
      <c r="H131" s="6" t="str">
        <f aca="false">IF(F131="Brand","Brand — already winning",IF(AND(E131&lt;=10,D131&lt;0.02,C131&gt;=200),"Ranks page 1 but no clicks → fix title/meta",IF(AND(E131&gt;10,E131&lt;=20,C131&gt;=200),"Page 2 → deepen content / add article",IF(E131&gt;20,"Weak — needs dedicated page","OK"))))</f>
        <v>OK</v>
      </c>
    </row>
    <row r="132" customFormat="false" ht="15" hidden="false" customHeight="false" outlineLevel="0" collapsed="false">
      <c r="A132" s="6" t="s">
        <v>188</v>
      </c>
      <c r="B132" s="6" t="n">
        <v>1</v>
      </c>
      <c r="C132" s="6" t="n">
        <v>110</v>
      </c>
      <c r="D132" s="7" t="n">
        <v>0.0091</v>
      </c>
      <c r="E132" s="8" t="n">
        <v>15.46</v>
      </c>
      <c r="F132" s="6" t="s">
        <v>48</v>
      </c>
      <c r="G132" s="6" t="n">
        <f aca="false">IF(AND(E132&gt;=3,E132&lt;=20),ROUND(C132*(1-D132)*(1/E132),0),0)</f>
        <v>7</v>
      </c>
      <c r="H132" s="6" t="str">
        <f aca="false">IF(F132="Brand","Brand — already winning",IF(AND(E132&lt;=10,D132&lt;0.02,C132&gt;=200),"Ranks page 1 but no clicks → fix title/meta",IF(AND(E132&gt;10,E132&lt;=20,C132&gt;=200),"Page 2 → deepen content / add article",IF(E132&gt;20,"Weak — needs dedicated page","OK"))))</f>
        <v>OK</v>
      </c>
    </row>
    <row r="133" customFormat="false" ht="15" hidden="false" customHeight="false" outlineLevel="0" collapsed="false">
      <c r="A133" s="6" t="s">
        <v>189</v>
      </c>
      <c r="B133" s="6" t="n">
        <v>1</v>
      </c>
      <c r="C133" s="6" t="n">
        <v>107</v>
      </c>
      <c r="D133" s="7" t="n">
        <v>0.0093</v>
      </c>
      <c r="E133" s="8" t="n">
        <v>6.32</v>
      </c>
      <c r="F133" s="6" t="s">
        <v>90</v>
      </c>
      <c r="G133" s="6" t="n">
        <f aca="false">IF(AND(E133&gt;=3,E133&lt;=20),ROUND(C133*(1-D133)*(1/E133),0),0)</f>
        <v>17</v>
      </c>
      <c r="H133" s="6" t="str">
        <f aca="false">IF(F133="Brand","Brand — already winning",IF(AND(E133&lt;=10,D133&lt;0.02,C133&gt;=200),"Ranks page 1 but no clicks → fix title/meta",IF(AND(E133&gt;10,E133&lt;=20,C133&gt;=200),"Page 2 → deepen content / add article",IF(E133&gt;20,"Weak — needs dedicated page","OK"))))</f>
        <v>OK</v>
      </c>
    </row>
    <row r="134" customFormat="false" ht="15" hidden="false" customHeight="false" outlineLevel="0" collapsed="false">
      <c r="A134" s="6" t="s">
        <v>190</v>
      </c>
      <c r="B134" s="6" t="n">
        <v>1</v>
      </c>
      <c r="C134" s="6" t="n">
        <v>107</v>
      </c>
      <c r="D134" s="7" t="n">
        <v>0.0093</v>
      </c>
      <c r="E134" s="8" t="n">
        <v>8.07</v>
      </c>
      <c r="F134" s="6" t="s">
        <v>43</v>
      </c>
      <c r="G134" s="6" t="n">
        <f aca="false">IF(AND(E134&gt;=3,E134&lt;=20),ROUND(C134*(1-D134)*(1/E134),0),0)</f>
        <v>13</v>
      </c>
      <c r="H134" s="6" t="str">
        <f aca="false">IF(F134="Brand","Brand — already winning",IF(AND(E134&lt;=10,D134&lt;0.02,C134&gt;=200),"Ranks page 1 but no clicks → fix title/meta",IF(AND(E134&gt;10,E134&lt;=20,C134&gt;=200),"Page 2 → deepen content / add article",IF(E134&gt;20,"Weak — needs dedicated page","OK"))))</f>
        <v>Brand — already winning</v>
      </c>
    </row>
    <row r="135" customFormat="false" ht="15" hidden="false" customHeight="false" outlineLevel="0" collapsed="false">
      <c r="A135" s="6" t="s">
        <v>191</v>
      </c>
      <c r="B135" s="6" t="n">
        <v>1</v>
      </c>
      <c r="C135" s="6" t="n">
        <v>102</v>
      </c>
      <c r="D135" s="7" t="n">
        <v>0.0098</v>
      </c>
      <c r="E135" s="8" t="n">
        <v>26.37</v>
      </c>
      <c r="F135" s="6" t="s">
        <v>56</v>
      </c>
      <c r="G135" s="6" t="n">
        <f aca="false">IF(AND(E135&gt;=3,E135&lt;=20),ROUND(C135*(1-D135)*(1/E135),0),0)</f>
        <v>0</v>
      </c>
      <c r="H135" s="6" t="str">
        <f aca="false">IF(F135="Brand","Brand — already winning",IF(AND(E135&lt;=10,D135&lt;0.02,C135&gt;=200),"Ranks page 1 but no clicks → fix title/meta",IF(AND(E135&gt;10,E135&lt;=20,C135&gt;=200),"Page 2 → deepen content / add article",IF(E135&gt;20,"Weak — needs dedicated page","OK"))))</f>
        <v>Weak — needs dedicated page</v>
      </c>
    </row>
    <row r="136" customFormat="false" ht="15" hidden="false" customHeight="false" outlineLevel="0" collapsed="false">
      <c r="A136" s="6" t="s">
        <v>192</v>
      </c>
      <c r="B136" s="6" t="n">
        <v>1</v>
      </c>
      <c r="C136" s="6" t="n">
        <v>97</v>
      </c>
      <c r="D136" s="7" t="n">
        <v>0.0103</v>
      </c>
      <c r="E136" s="8" t="n">
        <v>5.4</v>
      </c>
      <c r="F136" s="6" t="s">
        <v>48</v>
      </c>
      <c r="G136" s="6" t="n">
        <f aca="false">IF(AND(E136&gt;=3,E136&lt;=20),ROUND(C136*(1-D136)*(1/E136),0),0)</f>
        <v>18</v>
      </c>
      <c r="H136" s="6" t="str">
        <f aca="false">IF(F136="Brand","Brand — already winning",IF(AND(E136&lt;=10,D136&lt;0.02,C136&gt;=200),"Ranks page 1 but no clicks → fix title/meta",IF(AND(E136&gt;10,E136&lt;=20,C136&gt;=200),"Page 2 → deepen content / add article",IF(E136&gt;20,"Weak — needs dedicated page","OK"))))</f>
        <v>OK</v>
      </c>
    </row>
    <row r="137" customFormat="false" ht="15" hidden="false" customHeight="false" outlineLevel="0" collapsed="false">
      <c r="A137" s="6" t="s">
        <v>193</v>
      </c>
      <c r="B137" s="6" t="n">
        <v>1</v>
      </c>
      <c r="C137" s="6" t="n">
        <v>94</v>
      </c>
      <c r="D137" s="7" t="n">
        <v>0.0106</v>
      </c>
      <c r="E137" s="8" t="n">
        <v>28.65</v>
      </c>
      <c r="F137" s="6" t="s">
        <v>68</v>
      </c>
      <c r="G137" s="6" t="n">
        <f aca="false">IF(AND(E137&gt;=3,E137&lt;=20),ROUND(C137*(1-D137)*(1/E137),0),0)</f>
        <v>0</v>
      </c>
      <c r="H137" s="6" t="str">
        <f aca="false">IF(F137="Brand","Brand — already winning",IF(AND(E137&lt;=10,D137&lt;0.02,C137&gt;=200),"Ranks page 1 but no clicks → fix title/meta",IF(AND(E137&gt;10,E137&lt;=20,C137&gt;=200),"Page 2 → deepen content / add article",IF(E137&gt;20,"Weak — needs dedicated page","OK"))))</f>
        <v>Weak — needs dedicated page</v>
      </c>
    </row>
    <row r="138" customFormat="false" ht="15" hidden="false" customHeight="false" outlineLevel="0" collapsed="false">
      <c r="A138" s="6" t="s">
        <v>194</v>
      </c>
      <c r="B138" s="6" t="n">
        <v>1</v>
      </c>
      <c r="C138" s="6" t="n">
        <v>88</v>
      </c>
      <c r="D138" s="7" t="n">
        <v>0.0114</v>
      </c>
      <c r="E138" s="8" t="n">
        <v>7.2</v>
      </c>
      <c r="F138" s="6" t="s">
        <v>90</v>
      </c>
      <c r="G138" s="6" t="n">
        <f aca="false">IF(AND(E138&gt;=3,E138&lt;=20),ROUND(C138*(1-D138)*(1/E138),0),0)</f>
        <v>12</v>
      </c>
      <c r="H138" s="6" t="str">
        <f aca="false">IF(F138="Brand","Brand — already winning",IF(AND(E138&lt;=10,D138&lt;0.02,C138&gt;=200),"Ranks page 1 but no clicks → fix title/meta",IF(AND(E138&gt;10,E138&lt;=20,C138&gt;=200),"Page 2 → deepen content / add article",IF(E138&gt;20,"Weak — needs dedicated page","OK"))))</f>
        <v>OK</v>
      </c>
    </row>
    <row r="139" customFormat="false" ht="15" hidden="false" customHeight="false" outlineLevel="0" collapsed="false">
      <c r="A139" s="6" t="s">
        <v>195</v>
      </c>
      <c r="B139" s="6" t="n">
        <v>1</v>
      </c>
      <c r="C139" s="6" t="n">
        <v>83</v>
      </c>
      <c r="D139" s="7" t="n">
        <v>0.012</v>
      </c>
      <c r="E139" s="8" t="n">
        <v>10.51</v>
      </c>
      <c r="F139" s="6" t="s">
        <v>78</v>
      </c>
      <c r="G139" s="6" t="n">
        <f aca="false">IF(AND(E139&gt;=3,E139&lt;=20),ROUND(C139*(1-D139)*(1/E139),0),0)</f>
        <v>8</v>
      </c>
      <c r="H139" s="6" t="str">
        <f aca="false">IF(F139="Brand","Brand — already winning",IF(AND(E139&lt;=10,D139&lt;0.02,C139&gt;=200),"Ranks page 1 but no clicks → fix title/meta",IF(AND(E139&gt;10,E139&lt;=20,C139&gt;=200),"Page 2 → deepen content / add article",IF(E139&gt;20,"Weak — needs dedicated page","OK"))))</f>
        <v>OK</v>
      </c>
    </row>
    <row r="140" customFormat="false" ht="15" hidden="false" customHeight="false" outlineLevel="0" collapsed="false">
      <c r="A140" s="6" t="s">
        <v>196</v>
      </c>
      <c r="B140" s="6" t="n">
        <v>1</v>
      </c>
      <c r="C140" s="6" t="n">
        <v>77</v>
      </c>
      <c r="D140" s="7" t="n">
        <v>0.013</v>
      </c>
      <c r="E140" s="8" t="n">
        <v>8.79</v>
      </c>
      <c r="F140" s="6" t="s">
        <v>88</v>
      </c>
      <c r="G140" s="6" t="n">
        <f aca="false">IF(AND(E140&gt;=3,E140&lt;=20),ROUND(C140*(1-D140)*(1/E140),0),0)</f>
        <v>9</v>
      </c>
      <c r="H140" s="6" t="str">
        <f aca="false">IF(F140="Brand","Brand — already winning",IF(AND(E140&lt;=10,D140&lt;0.02,C140&gt;=200),"Ranks page 1 but no clicks → fix title/meta",IF(AND(E140&gt;10,E140&lt;=20,C140&gt;=200),"Page 2 → deepen content / add article",IF(E140&gt;20,"Weak — needs dedicated page","OK"))))</f>
        <v>OK</v>
      </c>
    </row>
    <row r="141" customFormat="false" ht="15" hidden="false" customHeight="false" outlineLevel="0" collapsed="false">
      <c r="A141" s="6" t="s">
        <v>197</v>
      </c>
      <c r="B141" s="6" t="n">
        <v>1</v>
      </c>
      <c r="C141" s="6" t="n">
        <v>75</v>
      </c>
      <c r="D141" s="7" t="n">
        <v>0.0133</v>
      </c>
      <c r="E141" s="8" t="n">
        <v>8.75</v>
      </c>
      <c r="F141" s="6" t="s">
        <v>198</v>
      </c>
      <c r="G141" s="6" t="n">
        <f aca="false">IF(AND(E141&gt;=3,E141&lt;=20),ROUND(C141*(1-D141)*(1/E141),0),0)</f>
        <v>8</v>
      </c>
      <c r="H141" s="6" t="str">
        <f aca="false">IF(F141="Brand","Brand — already winning",IF(AND(E141&lt;=10,D141&lt;0.02,C141&gt;=200),"Ranks page 1 but no clicks → fix title/meta",IF(AND(E141&gt;10,E141&lt;=20,C141&gt;=200),"Page 2 → deepen content / add article",IF(E141&gt;20,"Weak — needs dedicated page","OK"))))</f>
        <v>OK</v>
      </c>
    </row>
    <row r="142" customFormat="false" ht="15" hidden="false" customHeight="false" outlineLevel="0" collapsed="false">
      <c r="A142" s="6" t="s">
        <v>199</v>
      </c>
      <c r="B142" s="6" t="n">
        <v>1</v>
      </c>
      <c r="C142" s="6" t="n">
        <v>70</v>
      </c>
      <c r="D142" s="7" t="n">
        <v>0.0143</v>
      </c>
      <c r="E142" s="8" t="n">
        <v>3.91</v>
      </c>
      <c r="F142" s="6" t="s">
        <v>48</v>
      </c>
      <c r="G142" s="6" t="n">
        <f aca="false">IF(AND(E142&gt;=3,E142&lt;=20),ROUND(C142*(1-D142)*(1/E142),0),0)</f>
        <v>18</v>
      </c>
      <c r="H142" s="6" t="str">
        <f aca="false">IF(F142="Brand","Brand — already winning",IF(AND(E142&lt;=10,D142&lt;0.02,C142&gt;=200),"Ranks page 1 but no clicks → fix title/meta",IF(AND(E142&gt;10,E142&lt;=20,C142&gt;=200),"Page 2 → deepen content / add article",IF(E142&gt;20,"Weak — needs dedicated page","OK"))))</f>
        <v>OK</v>
      </c>
    </row>
    <row r="143" customFormat="false" ht="15" hidden="false" customHeight="false" outlineLevel="0" collapsed="false">
      <c r="A143" s="6" t="s">
        <v>200</v>
      </c>
      <c r="B143" s="6" t="n">
        <v>1</v>
      </c>
      <c r="C143" s="6" t="n">
        <v>69</v>
      </c>
      <c r="D143" s="7" t="n">
        <v>0.0145</v>
      </c>
      <c r="E143" s="8" t="n">
        <v>8.19</v>
      </c>
      <c r="F143" s="6" t="s">
        <v>48</v>
      </c>
      <c r="G143" s="6" t="n">
        <f aca="false">IF(AND(E143&gt;=3,E143&lt;=20),ROUND(C143*(1-D143)*(1/E143),0),0)</f>
        <v>8</v>
      </c>
      <c r="H143" s="6" t="str">
        <f aca="false">IF(F143="Brand","Brand — already winning",IF(AND(E143&lt;=10,D143&lt;0.02,C143&gt;=200),"Ranks page 1 but no clicks → fix title/meta",IF(AND(E143&gt;10,E143&lt;=20,C143&gt;=200),"Page 2 → deepen content / add article",IF(E143&gt;20,"Weak — needs dedicated page","OK"))))</f>
        <v>OK</v>
      </c>
    </row>
    <row r="144" customFormat="false" ht="15" hidden="false" customHeight="false" outlineLevel="0" collapsed="false">
      <c r="A144" s="6" t="s">
        <v>201</v>
      </c>
      <c r="B144" s="6" t="n">
        <v>1</v>
      </c>
      <c r="C144" s="6" t="n">
        <v>69</v>
      </c>
      <c r="D144" s="7" t="n">
        <v>0.0145</v>
      </c>
      <c r="E144" s="8" t="n">
        <v>13.3</v>
      </c>
      <c r="F144" s="6" t="s">
        <v>48</v>
      </c>
      <c r="G144" s="6" t="n">
        <f aca="false">IF(AND(E144&gt;=3,E144&lt;=20),ROUND(C144*(1-D144)*(1/E144),0),0)</f>
        <v>5</v>
      </c>
      <c r="H144" s="6" t="str">
        <f aca="false">IF(F144="Brand","Brand — already winning",IF(AND(E144&lt;=10,D144&lt;0.02,C144&gt;=200),"Ranks page 1 but no clicks → fix title/meta",IF(AND(E144&gt;10,E144&lt;=20,C144&gt;=200),"Page 2 → deepen content / add article",IF(E144&gt;20,"Weak — needs dedicated page","OK"))))</f>
        <v>OK</v>
      </c>
    </row>
    <row r="145" customFormat="false" ht="15" hidden="false" customHeight="false" outlineLevel="0" collapsed="false">
      <c r="A145" s="6" t="s">
        <v>202</v>
      </c>
      <c r="B145" s="6" t="n">
        <v>1</v>
      </c>
      <c r="C145" s="6" t="n">
        <v>68</v>
      </c>
      <c r="D145" s="7" t="n">
        <v>0.0147</v>
      </c>
      <c r="E145" s="8" t="n">
        <v>6.06</v>
      </c>
      <c r="F145" s="6" t="s">
        <v>88</v>
      </c>
      <c r="G145" s="6" t="n">
        <f aca="false">IF(AND(E145&gt;=3,E145&lt;=20),ROUND(C145*(1-D145)*(1/E145),0),0)</f>
        <v>11</v>
      </c>
      <c r="H145" s="6" t="str">
        <f aca="false">IF(F145="Brand","Brand — already winning",IF(AND(E145&lt;=10,D145&lt;0.02,C145&gt;=200),"Ranks page 1 but no clicks → fix title/meta",IF(AND(E145&gt;10,E145&lt;=20,C145&gt;=200),"Page 2 → deepen content / add article",IF(E145&gt;20,"Weak — needs dedicated page","OK"))))</f>
        <v>OK</v>
      </c>
    </row>
    <row r="146" customFormat="false" ht="15" hidden="false" customHeight="false" outlineLevel="0" collapsed="false">
      <c r="A146" s="6" t="s">
        <v>203</v>
      </c>
      <c r="B146" s="6" t="n">
        <v>1</v>
      </c>
      <c r="C146" s="6" t="n">
        <v>62</v>
      </c>
      <c r="D146" s="7" t="n">
        <v>0.0161</v>
      </c>
      <c r="E146" s="8" t="n">
        <v>7.21</v>
      </c>
      <c r="F146" s="6" t="s">
        <v>90</v>
      </c>
      <c r="G146" s="6" t="n">
        <f aca="false">IF(AND(E146&gt;=3,E146&lt;=20),ROUND(C146*(1-D146)*(1/E146),0),0)</f>
        <v>8</v>
      </c>
      <c r="H146" s="6" t="str">
        <f aca="false">IF(F146="Brand","Brand — already winning",IF(AND(E146&lt;=10,D146&lt;0.02,C146&gt;=200),"Ranks page 1 but no clicks → fix title/meta",IF(AND(E146&gt;10,E146&lt;=20,C146&gt;=200),"Page 2 → deepen content / add article",IF(E146&gt;20,"Weak — needs dedicated page","OK"))))</f>
        <v>OK</v>
      </c>
    </row>
    <row r="147" customFormat="false" ht="15" hidden="false" customHeight="false" outlineLevel="0" collapsed="false">
      <c r="A147" s="6" t="s">
        <v>204</v>
      </c>
      <c r="B147" s="6" t="n">
        <v>1</v>
      </c>
      <c r="C147" s="6" t="n">
        <v>59</v>
      </c>
      <c r="D147" s="7" t="n">
        <v>0.0169</v>
      </c>
      <c r="E147" s="8" t="n">
        <v>5.24</v>
      </c>
      <c r="F147" s="6" t="s">
        <v>48</v>
      </c>
      <c r="G147" s="6" t="n">
        <f aca="false">IF(AND(E147&gt;=3,E147&lt;=20),ROUND(C147*(1-D147)*(1/E147),0),0)</f>
        <v>11</v>
      </c>
      <c r="H147" s="6" t="str">
        <f aca="false">IF(F147="Brand","Brand — already winning",IF(AND(E147&lt;=10,D147&lt;0.02,C147&gt;=200),"Ranks page 1 but no clicks → fix title/meta",IF(AND(E147&gt;10,E147&lt;=20,C147&gt;=200),"Page 2 → deepen content / add article",IF(E147&gt;20,"Weak — needs dedicated page","OK"))))</f>
        <v>OK</v>
      </c>
    </row>
    <row r="148" customFormat="false" ht="15" hidden="false" customHeight="false" outlineLevel="0" collapsed="false">
      <c r="A148" s="6" t="s">
        <v>205</v>
      </c>
      <c r="B148" s="6" t="n">
        <v>1</v>
      </c>
      <c r="C148" s="6" t="n">
        <v>59</v>
      </c>
      <c r="D148" s="7" t="n">
        <v>0.0169</v>
      </c>
      <c r="E148" s="8" t="n">
        <v>10.25</v>
      </c>
      <c r="F148" s="6" t="s">
        <v>88</v>
      </c>
      <c r="G148" s="6" t="n">
        <f aca="false">IF(AND(E148&gt;=3,E148&lt;=20),ROUND(C148*(1-D148)*(1/E148),0),0)</f>
        <v>6</v>
      </c>
      <c r="H148" s="6" t="str">
        <f aca="false">IF(F148="Brand","Brand — already winning",IF(AND(E148&lt;=10,D148&lt;0.02,C148&gt;=200),"Ranks page 1 but no clicks → fix title/meta",IF(AND(E148&gt;10,E148&lt;=20,C148&gt;=200),"Page 2 → deepen content / add article",IF(E148&gt;20,"Weak — needs dedicated page","OK"))))</f>
        <v>OK</v>
      </c>
    </row>
    <row r="149" customFormat="false" ht="15" hidden="false" customHeight="false" outlineLevel="0" collapsed="false">
      <c r="A149" s="6" t="s">
        <v>206</v>
      </c>
      <c r="B149" s="6" t="n">
        <v>1</v>
      </c>
      <c r="C149" s="6" t="n">
        <v>55</v>
      </c>
      <c r="D149" s="7" t="n">
        <v>0.0182</v>
      </c>
      <c r="E149" s="8" t="n">
        <v>7.71</v>
      </c>
      <c r="F149" s="6" t="s">
        <v>88</v>
      </c>
      <c r="G149" s="6" t="n">
        <f aca="false">IF(AND(E149&gt;=3,E149&lt;=20),ROUND(C149*(1-D149)*(1/E149),0),0)</f>
        <v>7</v>
      </c>
      <c r="H149" s="6" t="str">
        <f aca="false">IF(F149="Brand","Brand — already winning",IF(AND(E149&lt;=10,D149&lt;0.02,C149&gt;=200),"Ranks page 1 but no clicks → fix title/meta",IF(AND(E149&gt;10,E149&lt;=20,C149&gt;=200),"Page 2 → deepen content / add article",IF(E149&gt;20,"Weak — needs dedicated page","OK"))))</f>
        <v>OK</v>
      </c>
    </row>
    <row r="150" customFormat="false" ht="15" hidden="false" customHeight="false" outlineLevel="0" collapsed="false">
      <c r="A150" s="6" t="s">
        <v>207</v>
      </c>
      <c r="B150" s="6" t="n">
        <v>1</v>
      </c>
      <c r="C150" s="6" t="n">
        <v>55</v>
      </c>
      <c r="D150" s="7" t="n">
        <v>0.0182</v>
      </c>
      <c r="E150" s="8" t="n">
        <v>20.05</v>
      </c>
      <c r="F150" s="6" t="s">
        <v>56</v>
      </c>
      <c r="G150" s="6" t="n">
        <f aca="false">IF(AND(E150&gt;=3,E150&lt;=20),ROUND(C150*(1-D150)*(1/E150),0),0)</f>
        <v>0</v>
      </c>
      <c r="H150" s="6" t="str">
        <f aca="false">IF(F150="Brand","Brand — already winning",IF(AND(E150&lt;=10,D150&lt;0.02,C150&gt;=200),"Ranks page 1 but no clicks → fix title/meta",IF(AND(E150&gt;10,E150&lt;=20,C150&gt;=200),"Page 2 → deepen content / add article",IF(E150&gt;20,"Weak — needs dedicated page","OK"))))</f>
        <v>Weak — needs dedicated page</v>
      </c>
    </row>
    <row r="151" customFormat="false" ht="15" hidden="false" customHeight="false" outlineLevel="0" collapsed="false">
      <c r="A151" s="6" t="s">
        <v>208</v>
      </c>
      <c r="B151" s="6" t="n">
        <v>1</v>
      </c>
      <c r="C151" s="6" t="n">
        <v>54</v>
      </c>
      <c r="D151" s="7" t="n">
        <v>0.0185</v>
      </c>
      <c r="E151" s="8" t="n">
        <v>3.5</v>
      </c>
      <c r="F151" s="6" t="s">
        <v>90</v>
      </c>
      <c r="G151" s="6" t="n">
        <f aca="false">IF(AND(E151&gt;=3,E151&lt;=20),ROUND(C151*(1-D151)*(1/E151),0),0)</f>
        <v>15</v>
      </c>
      <c r="H151" s="6" t="str">
        <f aca="false">IF(F151="Brand","Brand — already winning",IF(AND(E151&lt;=10,D151&lt;0.02,C151&gt;=200),"Ranks page 1 but no clicks → fix title/meta",IF(AND(E151&gt;10,E151&lt;=20,C151&gt;=200),"Page 2 → deepen content / add article",IF(E151&gt;20,"Weak — needs dedicated page","OK"))))</f>
        <v>OK</v>
      </c>
    </row>
    <row r="152" customFormat="false" ht="15" hidden="false" customHeight="false" outlineLevel="0" collapsed="false">
      <c r="A152" s="6" t="s">
        <v>209</v>
      </c>
      <c r="B152" s="6" t="n">
        <v>1</v>
      </c>
      <c r="C152" s="6" t="n">
        <v>54</v>
      </c>
      <c r="D152" s="7" t="n">
        <v>0.0185</v>
      </c>
      <c r="E152" s="8" t="n">
        <v>6.65</v>
      </c>
      <c r="F152" s="6" t="s">
        <v>48</v>
      </c>
      <c r="G152" s="6" t="n">
        <f aca="false">IF(AND(E152&gt;=3,E152&lt;=20),ROUND(C152*(1-D152)*(1/E152),0),0)</f>
        <v>8</v>
      </c>
      <c r="H152" s="6" t="str">
        <f aca="false">IF(F152="Brand","Brand — already winning",IF(AND(E152&lt;=10,D152&lt;0.02,C152&gt;=200),"Ranks page 1 but no clicks → fix title/meta",IF(AND(E152&gt;10,E152&lt;=20,C152&gt;=200),"Page 2 → deepen content / add article",IF(E152&gt;20,"Weak — needs dedicated page","OK"))))</f>
        <v>OK</v>
      </c>
    </row>
    <row r="153" customFormat="false" ht="15" hidden="false" customHeight="false" outlineLevel="0" collapsed="false">
      <c r="A153" s="6" t="s">
        <v>210</v>
      </c>
      <c r="B153" s="6" t="n">
        <v>1</v>
      </c>
      <c r="C153" s="6" t="n">
        <v>54</v>
      </c>
      <c r="D153" s="7" t="n">
        <v>0.0185</v>
      </c>
      <c r="E153" s="8" t="n">
        <v>11.37</v>
      </c>
      <c r="F153" s="6" t="s">
        <v>48</v>
      </c>
      <c r="G153" s="6" t="n">
        <f aca="false">IF(AND(E153&gt;=3,E153&lt;=20),ROUND(C153*(1-D153)*(1/E153),0),0)</f>
        <v>5</v>
      </c>
      <c r="H153" s="6" t="str">
        <f aca="false">IF(F153="Brand","Brand — already winning",IF(AND(E153&lt;=10,D153&lt;0.02,C153&gt;=200),"Ranks page 1 but no clicks → fix title/meta",IF(AND(E153&gt;10,E153&lt;=20,C153&gt;=200),"Page 2 → deepen content / add article",IF(E153&gt;20,"Weak — needs dedicated page","OK"))))</f>
        <v>OK</v>
      </c>
    </row>
    <row r="154" customFormat="false" ht="15" hidden="false" customHeight="false" outlineLevel="0" collapsed="false">
      <c r="A154" s="6" t="s">
        <v>211</v>
      </c>
      <c r="B154" s="6" t="n">
        <v>1</v>
      </c>
      <c r="C154" s="6" t="n">
        <v>54</v>
      </c>
      <c r="D154" s="7" t="n">
        <v>0.0185</v>
      </c>
      <c r="E154" s="8" t="n">
        <v>16.37</v>
      </c>
      <c r="F154" s="6" t="s">
        <v>48</v>
      </c>
      <c r="G154" s="6" t="n">
        <f aca="false">IF(AND(E154&gt;=3,E154&lt;=20),ROUND(C154*(1-D154)*(1/E154),0),0)</f>
        <v>3</v>
      </c>
      <c r="H154" s="6" t="str">
        <f aca="false">IF(F154="Brand","Brand — already winning",IF(AND(E154&lt;=10,D154&lt;0.02,C154&gt;=200),"Ranks page 1 but no clicks → fix title/meta",IF(AND(E154&gt;10,E154&lt;=20,C154&gt;=200),"Page 2 → deepen content / add article",IF(E154&gt;20,"Weak — needs dedicated page","OK"))))</f>
        <v>OK</v>
      </c>
    </row>
    <row r="155" customFormat="false" ht="15" hidden="false" customHeight="false" outlineLevel="0" collapsed="false">
      <c r="A155" s="6" t="s">
        <v>212</v>
      </c>
      <c r="B155" s="6" t="n">
        <v>1</v>
      </c>
      <c r="C155" s="6" t="n">
        <v>51</v>
      </c>
      <c r="D155" s="7" t="n">
        <v>0.0196</v>
      </c>
      <c r="E155" s="8" t="n">
        <v>5.84</v>
      </c>
      <c r="F155" s="6" t="s">
        <v>48</v>
      </c>
      <c r="G155" s="6" t="n">
        <f aca="false">IF(AND(E155&gt;=3,E155&lt;=20),ROUND(C155*(1-D155)*(1/E155),0),0)</f>
        <v>9</v>
      </c>
      <c r="H155" s="6" t="str">
        <f aca="false">IF(F155="Brand","Brand — already winning",IF(AND(E155&lt;=10,D155&lt;0.02,C155&gt;=200),"Ranks page 1 but no clicks → fix title/meta",IF(AND(E155&gt;10,E155&lt;=20,C155&gt;=200),"Page 2 → deepen content / add article",IF(E155&gt;20,"Weak — needs dedicated page","OK"))))</f>
        <v>OK</v>
      </c>
    </row>
    <row r="156" customFormat="false" ht="15" hidden="false" customHeight="false" outlineLevel="0" collapsed="false">
      <c r="A156" s="6" t="s">
        <v>213</v>
      </c>
      <c r="B156" s="6" t="n">
        <v>1</v>
      </c>
      <c r="C156" s="6" t="n">
        <v>50</v>
      </c>
      <c r="D156" s="7" t="n">
        <v>0.02</v>
      </c>
      <c r="E156" s="8" t="n">
        <v>7.32</v>
      </c>
      <c r="F156" s="6" t="s">
        <v>68</v>
      </c>
      <c r="G156" s="6" t="n">
        <f aca="false">IF(AND(E156&gt;=3,E156&lt;=20),ROUND(C156*(1-D156)*(1/E156),0),0)</f>
        <v>7</v>
      </c>
      <c r="H156" s="6" t="str">
        <f aca="false">IF(F156="Brand","Brand — already winning",IF(AND(E156&lt;=10,D156&lt;0.02,C156&gt;=200),"Ranks page 1 but no clicks → fix title/meta",IF(AND(E156&gt;10,E156&lt;=20,C156&gt;=200),"Page 2 → deepen content / add article",IF(E156&gt;20,"Weak — needs dedicated page","OK"))))</f>
        <v>OK</v>
      </c>
    </row>
    <row r="157" customFormat="false" ht="15" hidden="false" customHeight="false" outlineLevel="0" collapsed="false">
      <c r="A157" s="6" t="s">
        <v>214</v>
      </c>
      <c r="B157" s="6" t="n">
        <v>1</v>
      </c>
      <c r="C157" s="6" t="n">
        <v>48</v>
      </c>
      <c r="D157" s="7" t="n">
        <v>0.0208</v>
      </c>
      <c r="E157" s="8" t="n">
        <v>7.23</v>
      </c>
      <c r="F157" s="6" t="s">
        <v>48</v>
      </c>
      <c r="G157" s="6" t="n">
        <f aca="false">IF(AND(E157&gt;=3,E157&lt;=20),ROUND(C157*(1-D157)*(1/E157),0),0)</f>
        <v>7</v>
      </c>
      <c r="H157" s="6" t="str">
        <f aca="false">IF(F157="Brand","Brand — already winning",IF(AND(E157&lt;=10,D157&lt;0.02,C157&gt;=200),"Ranks page 1 but no clicks → fix title/meta",IF(AND(E157&gt;10,E157&lt;=20,C157&gt;=200),"Page 2 → deepen content / add article",IF(E157&gt;20,"Weak — needs dedicated page","OK"))))</f>
        <v>OK</v>
      </c>
    </row>
    <row r="158" customFormat="false" ht="15" hidden="false" customHeight="false" outlineLevel="0" collapsed="false">
      <c r="A158" s="6" t="s">
        <v>215</v>
      </c>
      <c r="B158" s="6" t="n">
        <v>1</v>
      </c>
      <c r="C158" s="6" t="n">
        <v>48</v>
      </c>
      <c r="D158" s="7" t="n">
        <v>0.0208</v>
      </c>
      <c r="E158" s="8" t="n">
        <v>10.9</v>
      </c>
      <c r="F158" s="6" t="s">
        <v>61</v>
      </c>
      <c r="G158" s="6" t="n">
        <f aca="false">IF(AND(E158&gt;=3,E158&lt;=20),ROUND(C158*(1-D158)*(1/E158),0),0)</f>
        <v>4</v>
      </c>
      <c r="H158" s="6" t="str">
        <f aca="false">IF(F158="Brand","Brand — already winning",IF(AND(E158&lt;=10,D158&lt;0.02,C158&gt;=200),"Ranks page 1 but no clicks → fix title/meta",IF(AND(E158&gt;10,E158&lt;=20,C158&gt;=200),"Page 2 → deepen content / add article",IF(E158&gt;20,"Weak — needs dedicated page","OK"))))</f>
        <v>OK</v>
      </c>
    </row>
    <row r="159" customFormat="false" ht="15" hidden="false" customHeight="false" outlineLevel="0" collapsed="false">
      <c r="A159" s="6" t="s">
        <v>216</v>
      </c>
      <c r="B159" s="6" t="n">
        <v>1</v>
      </c>
      <c r="C159" s="6" t="n">
        <v>46</v>
      </c>
      <c r="D159" s="7" t="n">
        <v>0.0217</v>
      </c>
      <c r="E159" s="8" t="n">
        <v>8.11</v>
      </c>
      <c r="F159" s="6" t="s">
        <v>78</v>
      </c>
      <c r="G159" s="6" t="n">
        <f aca="false">IF(AND(E159&gt;=3,E159&lt;=20),ROUND(C159*(1-D159)*(1/E159),0),0)</f>
        <v>6</v>
      </c>
      <c r="H159" s="6" t="str">
        <f aca="false">IF(F159="Brand","Brand — already winning",IF(AND(E159&lt;=10,D159&lt;0.02,C159&gt;=200),"Ranks page 1 but no clicks → fix title/meta",IF(AND(E159&gt;10,E159&lt;=20,C159&gt;=200),"Page 2 → deepen content / add article",IF(E159&gt;20,"Weak — needs dedicated page","OK"))))</f>
        <v>OK</v>
      </c>
    </row>
    <row r="160" customFormat="false" ht="15" hidden="false" customHeight="false" outlineLevel="0" collapsed="false">
      <c r="A160" s="6" t="s">
        <v>217</v>
      </c>
      <c r="B160" s="6" t="n">
        <v>1</v>
      </c>
      <c r="C160" s="6" t="n">
        <v>45</v>
      </c>
      <c r="D160" s="7" t="n">
        <v>0.0222</v>
      </c>
      <c r="E160" s="8" t="n">
        <v>6.73</v>
      </c>
      <c r="F160" s="6" t="s">
        <v>95</v>
      </c>
      <c r="G160" s="6" t="n">
        <f aca="false">IF(AND(E160&gt;=3,E160&lt;=20),ROUND(C160*(1-D160)*(1/E160),0),0)</f>
        <v>7</v>
      </c>
      <c r="H160" s="6" t="str">
        <f aca="false">IF(F160="Brand","Brand — already winning",IF(AND(E160&lt;=10,D160&lt;0.02,C160&gt;=200),"Ranks page 1 but no clicks → fix title/meta",IF(AND(E160&gt;10,E160&lt;=20,C160&gt;=200),"Page 2 → deepen content / add article",IF(E160&gt;20,"Weak — needs dedicated page","OK"))))</f>
        <v>OK</v>
      </c>
    </row>
    <row r="161" customFormat="false" ht="15" hidden="false" customHeight="false" outlineLevel="0" collapsed="false">
      <c r="A161" s="6" t="s">
        <v>218</v>
      </c>
      <c r="B161" s="6" t="n">
        <v>1</v>
      </c>
      <c r="C161" s="6" t="n">
        <v>42</v>
      </c>
      <c r="D161" s="7" t="n">
        <v>0.0238</v>
      </c>
      <c r="E161" s="8" t="n">
        <v>17.29</v>
      </c>
      <c r="F161" s="6" t="s">
        <v>61</v>
      </c>
      <c r="G161" s="6" t="n">
        <f aca="false">IF(AND(E161&gt;=3,E161&lt;=20),ROUND(C161*(1-D161)*(1/E161),0),0)</f>
        <v>2</v>
      </c>
      <c r="H161" s="6" t="str">
        <f aca="false">IF(F161="Brand","Brand — already winning",IF(AND(E161&lt;=10,D161&lt;0.02,C161&gt;=200),"Ranks page 1 but no clicks → fix title/meta",IF(AND(E161&gt;10,E161&lt;=20,C161&gt;=200),"Page 2 → deepen content / add article",IF(E161&gt;20,"Weak — needs dedicated page","OK"))))</f>
        <v>OK</v>
      </c>
    </row>
    <row r="162" customFormat="false" ht="15" hidden="false" customHeight="false" outlineLevel="0" collapsed="false">
      <c r="A162" s="6" t="s">
        <v>219</v>
      </c>
      <c r="B162" s="6" t="n">
        <v>1</v>
      </c>
      <c r="C162" s="6" t="n">
        <v>41</v>
      </c>
      <c r="D162" s="7" t="n">
        <v>0.0244</v>
      </c>
      <c r="E162" s="8" t="n">
        <v>2.76</v>
      </c>
      <c r="F162" s="6" t="s">
        <v>48</v>
      </c>
      <c r="G162" s="6" t="n">
        <f aca="false">IF(AND(E162&gt;=3,E162&lt;=20),ROUND(C162*(1-D162)*(1/E162),0),0)</f>
        <v>0</v>
      </c>
      <c r="H162" s="6" t="str">
        <f aca="false">IF(F162="Brand","Brand — already winning",IF(AND(E162&lt;=10,D162&lt;0.02,C162&gt;=200),"Ranks page 1 but no clicks → fix title/meta",IF(AND(E162&gt;10,E162&lt;=20,C162&gt;=200),"Page 2 → deepen content / add article",IF(E162&gt;20,"Weak — needs dedicated page","OK"))))</f>
        <v>OK</v>
      </c>
    </row>
    <row r="163" customFormat="false" ht="15" hidden="false" customHeight="false" outlineLevel="0" collapsed="false">
      <c r="A163" s="6" t="s">
        <v>220</v>
      </c>
      <c r="B163" s="6" t="n">
        <v>1</v>
      </c>
      <c r="C163" s="6" t="n">
        <v>38</v>
      </c>
      <c r="D163" s="7" t="n">
        <v>0.0263</v>
      </c>
      <c r="E163" s="8" t="n">
        <v>5.39</v>
      </c>
      <c r="F163" s="6" t="s">
        <v>78</v>
      </c>
      <c r="G163" s="6" t="n">
        <f aca="false">IF(AND(E163&gt;=3,E163&lt;=20),ROUND(C163*(1-D163)*(1/E163),0),0)</f>
        <v>7</v>
      </c>
      <c r="H163" s="6" t="str">
        <f aca="false">IF(F163="Brand","Brand — already winning",IF(AND(E163&lt;=10,D163&lt;0.02,C163&gt;=200),"Ranks page 1 but no clicks → fix title/meta",IF(AND(E163&gt;10,E163&lt;=20,C163&gt;=200),"Page 2 → deepen content / add article",IF(E163&gt;20,"Weak — needs dedicated page","OK"))))</f>
        <v>OK</v>
      </c>
    </row>
    <row r="164" customFormat="false" ht="15" hidden="false" customHeight="false" outlineLevel="0" collapsed="false">
      <c r="A164" s="6" t="s">
        <v>221</v>
      </c>
      <c r="B164" s="6" t="n">
        <v>1</v>
      </c>
      <c r="C164" s="6" t="n">
        <v>38</v>
      </c>
      <c r="D164" s="7" t="n">
        <v>0.0263</v>
      </c>
      <c r="E164" s="8" t="n">
        <v>8.05</v>
      </c>
      <c r="F164" s="6" t="s">
        <v>48</v>
      </c>
      <c r="G164" s="6" t="n">
        <f aca="false">IF(AND(E164&gt;=3,E164&lt;=20),ROUND(C164*(1-D164)*(1/E164),0),0)</f>
        <v>5</v>
      </c>
      <c r="H164" s="6" t="str">
        <f aca="false">IF(F164="Brand","Brand — already winning",IF(AND(E164&lt;=10,D164&lt;0.02,C164&gt;=200),"Ranks page 1 but no clicks → fix title/meta",IF(AND(E164&gt;10,E164&lt;=20,C164&gt;=200),"Page 2 → deepen content / add article",IF(E164&gt;20,"Weak — needs dedicated page","OK"))))</f>
        <v>OK</v>
      </c>
    </row>
    <row r="165" customFormat="false" ht="15" hidden="false" customHeight="false" outlineLevel="0" collapsed="false">
      <c r="A165" s="6" t="s">
        <v>222</v>
      </c>
      <c r="B165" s="6" t="n">
        <v>1</v>
      </c>
      <c r="C165" s="6" t="n">
        <v>36</v>
      </c>
      <c r="D165" s="7" t="n">
        <v>0.0278</v>
      </c>
      <c r="E165" s="8" t="n">
        <v>6.69</v>
      </c>
      <c r="F165" s="6" t="s">
        <v>54</v>
      </c>
      <c r="G165" s="6" t="n">
        <f aca="false">IF(AND(E165&gt;=3,E165&lt;=20),ROUND(C165*(1-D165)*(1/E165),0),0)</f>
        <v>5</v>
      </c>
      <c r="H165" s="6" t="str">
        <f aca="false">IF(F165="Brand","Brand — already winning",IF(AND(E165&lt;=10,D165&lt;0.02,C165&gt;=200),"Ranks page 1 but no clicks → fix title/meta",IF(AND(E165&gt;10,E165&lt;=20,C165&gt;=200),"Page 2 → deepen content / add article",IF(E165&gt;20,"Weak — needs dedicated page","OK"))))</f>
        <v>OK</v>
      </c>
    </row>
    <row r="166" customFormat="false" ht="15" hidden="false" customHeight="false" outlineLevel="0" collapsed="false">
      <c r="A166" s="6" t="s">
        <v>223</v>
      </c>
      <c r="B166" s="6" t="n">
        <v>1</v>
      </c>
      <c r="C166" s="6" t="n">
        <v>36</v>
      </c>
      <c r="D166" s="7" t="n">
        <v>0.0278</v>
      </c>
      <c r="E166" s="8" t="n">
        <v>7.06</v>
      </c>
      <c r="F166" s="6" t="s">
        <v>88</v>
      </c>
      <c r="G166" s="6" t="n">
        <f aca="false">IF(AND(E166&gt;=3,E166&lt;=20),ROUND(C166*(1-D166)*(1/E166),0),0)</f>
        <v>5</v>
      </c>
      <c r="H166" s="6" t="str">
        <f aca="false">IF(F166="Brand","Brand — already winning",IF(AND(E166&lt;=10,D166&lt;0.02,C166&gt;=200),"Ranks page 1 but no clicks → fix title/meta",IF(AND(E166&gt;10,E166&lt;=20,C166&gt;=200),"Page 2 → deepen content / add article",IF(E166&gt;20,"Weak — needs dedicated page","OK"))))</f>
        <v>OK</v>
      </c>
    </row>
    <row r="167" customFormat="false" ht="15" hidden="false" customHeight="false" outlineLevel="0" collapsed="false">
      <c r="A167" s="6" t="s">
        <v>224</v>
      </c>
      <c r="B167" s="6" t="n">
        <v>1</v>
      </c>
      <c r="C167" s="6" t="n">
        <v>33</v>
      </c>
      <c r="D167" s="7" t="n">
        <v>0.0303</v>
      </c>
      <c r="E167" s="8" t="n">
        <v>8.67</v>
      </c>
      <c r="F167" s="6" t="s">
        <v>68</v>
      </c>
      <c r="G167" s="6" t="n">
        <f aca="false">IF(AND(E167&gt;=3,E167&lt;=20),ROUND(C167*(1-D167)*(1/E167),0),0)</f>
        <v>4</v>
      </c>
      <c r="H167" s="6" t="str">
        <f aca="false">IF(F167="Brand","Brand — already winning",IF(AND(E167&lt;=10,D167&lt;0.02,C167&gt;=200),"Ranks page 1 but no clicks → fix title/meta",IF(AND(E167&gt;10,E167&lt;=20,C167&gt;=200),"Page 2 → deepen content / add article",IF(E167&gt;20,"Weak — needs dedicated page","OK"))))</f>
        <v>OK</v>
      </c>
    </row>
    <row r="168" customFormat="false" ht="15" hidden="false" customHeight="false" outlineLevel="0" collapsed="false">
      <c r="A168" s="6" t="s">
        <v>225</v>
      </c>
      <c r="B168" s="6" t="n">
        <v>1</v>
      </c>
      <c r="C168" s="6" t="n">
        <v>33</v>
      </c>
      <c r="D168" s="7" t="n">
        <v>0.0303</v>
      </c>
      <c r="E168" s="8" t="n">
        <v>24.27</v>
      </c>
      <c r="F168" s="6" t="s">
        <v>162</v>
      </c>
      <c r="G168" s="6" t="n">
        <f aca="false">IF(AND(E168&gt;=3,E168&lt;=20),ROUND(C168*(1-D168)*(1/E168),0),0)</f>
        <v>0</v>
      </c>
      <c r="H168" s="6" t="str">
        <f aca="false">IF(F168="Brand","Brand — already winning",IF(AND(E168&lt;=10,D168&lt;0.02,C168&gt;=200),"Ranks page 1 but no clicks → fix title/meta",IF(AND(E168&gt;10,E168&lt;=20,C168&gt;=200),"Page 2 → deepen content / add article",IF(E168&gt;20,"Weak — needs dedicated page","OK"))))</f>
        <v>Weak — needs dedicated page</v>
      </c>
    </row>
    <row r="169" customFormat="false" ht="15" hidden="false" customHeight="false" outlineLevel="0" collapsed="false">
      <c r="A169" s="6" t="s">
        <v>226</v>
      </c>
      <c r="B169" s="6" t="n">
        <v>1</v>
      </c>
      <c r="C169" s="6" t="n">
        <v>31</v>
      </c>
      <c r="D169" s="7" t="n">
        <v>0.0323</v>
      </c>
      <c r="E169" s="8" t="n">
        <v>4.23</v>
      </c>
      <c r="F169" s="6" t="s">
        <v>48</v>
      </c>
      <c r="G169" s="6" t="n">
        <f aca="false">IF(AND(E169&gt;=3,E169&lt;=20),ROUND(C169*(1-D169)*(1/E169),0),0)</f>
        <v>7</v>
      </c>
      <c r="H169" s="6" t="str">
        <f aca="false">IF(F169="Brand","Brand — already winning",IF(AND(E169&lt;=10,D169&lt;0.02,C169&gt;=200),"Ranks page 1 but no clicks → fix title/meta",IF(AND(E169&gt;10,E169&lt;=20,C169&gt;=200),"Page 2 → deepen content / add article",IF(E169&gt;20,"Weak — needs dedicated page","OK"))))</f>
        <v>OK</v>
      </c>
    </row>
    <row r="170" customFormat="false" ht="15" hidden="false" customHeight="false" outlineLevel="0" collapsed="false">
      <c r="A170" s="6" t="s">
        <v>227</v>
      </c>
      <c r="B170" s="6" t="n">
        <v>1</v>
      </c>
      <c r="C170" s="6" t="n">
        <v>30</v>
      </c>
      <c r="D170" s="7" t="n">
        <v>0.0333</v>
      </c>
      <c r="E170" s="8" t="n">
        <v>8.63</v>
      </c>
      <c r="F170" s="6" t="s">
        <v>78</v>
      </c>
      <c r="G170" s="6" t="n">
        <f aca="false">IF(AND(E170&gt;=3,E170&lt;=20),ROUND(C170*(1-D170)*(1/E170),0),0)</f>
        <v>3</v>
      </c>
      <c r="H170" s="6" t="str">
        <f aca="false">IF(F170="Brand","Brand — already winning",IF(AND(E170&lt;=10,D170&lt;0.02,C170&gt;=200),"Ranks page 1 but no clicks → fix title/meta",IF(AND(E170&gt;10,E170&lt;=20,C170&gt;=200),"Page 2 → deepen content / add article",IF(E170&gt;20,"Weak — needs dedicated page","OK"))))</f>
        <v>OK</v>
      </c>
    </row>
    <row r="171" customFormat="false" ht="15" hidden="false" customHeight="false" outlineLevel="0" collapsed="false">
      <c r="A171" s="6" t="s">
        <v>228</v>
      </c>
      <c r="B171" s="6" t="n">
        <v>1</v>
      </c>
      <c r="C171" s="6" t="n">
        <v>29</v>
      </c>
      <c r="D171" s="7" t="n">
        <v>0.0345</v>
      </c>
      <c r="E171" s="8" t="n">
        <v>4.83</v>
      </c>
      <c r="F171" s="6" t="s">
        <v>68</v>
      </c>
      <c r="G171" s="6" t="n">
        <f aca="false">IF(AND(E171&gt;=3,E171&lt;=20),ROUND(C171*(1-D171)*(1/E171),0),0)</f>
        <v>6</v>
      </c>
      <c r="H171" s="6" t="str">
        <f aca="false">IF(F171="Brand","Brand — already winning",IF(AND(E171&lt;=10,D171&lt;0.02,C171&gt;=200),"Ranks page 1 but no clicks → fix title/meta",IF(AND(E171&gt;10,E171&lt;=20,C171&gt;=200),"Page 2 → deepen content / add article",IF(E171&gt;20,"Weak — needs dedicated page","OK"))))</f>
        <v>OK</v>
      </c>
    </row>
    <row r="172" customFormat="false" ht="15" hidden="false" customHeight="false" outlineLevel="0" collapsed="false">
      <c r="A172" s="6" t="s">
        <v>229</v>
      </c>
      <c r="B172" s="6" t="n">
        <v>1</v>
      </c>
      <c r="C172" s="6" t="n">
        <v>28</v>
      </c>
      <c r="D172" s="7" t="n">
        <v>0.0357</v>
      </c>
      <c r="E172" s="8" t="n">
        <v>4.29</v>
      </c>
      <c r="F172" s="6" t="s">
        <v>63</v>
      </c>
      <c r="G172" s="6" t="n">
        <f aca="false">IF(AND(E172&gt;=3,E172&lt;=20),ROUND(C172*(1-D172)*(1/E172),0),0)</f>
        <v>6</v>
      </c>
      <c r="H172" s="6" t="str">
        <f aca="false">IF(F172="Brand","Brand — already winning",IF(AND(E172&lt;=10,D172&lt;0.02,C172&gt;=200),"Ranks page 1 but no clicks → fix title/meta",IF(AND(E172&gt;10,E172&lt;=20,C172&gt;=200),"Page 2 → deepen content / add article",IF(E172&gt;20,"Weak — needs dedicated page","OK"))))</f>
        <v>OK</v>
      </c>
    </row>
    <row r="173" customFormat="false" ht="15" hidden="false" customHeight="false" outlineLevel="0" collapsed="false">
      <c r="A173" s="6" t="s">
        <v>230</v>
      </c>
      <c r="B173" s="6" t="n">
        <v>1</v>
      </c>
      <c r="C173" s="6" t="n">
        <v>28</v>
      </c>
      <c r="D173" s="7" t="n">
        <v>0.0357</v>
      </c>
      <c r="E173" s="8" t="n">
        <v>8.57</v>
      </c>
      <c r="F173" s="6" t="s">
        <v>78</v>
      </c>
      <c r="G173" s="6" t="n">
        <f aca="false">IF(AND(E173&gt;=3,E173&lt;=20),ROUND(C173*(1-D173)*(1/E173),0),0)</f>
        <v>3</v>
      </c>
      <c r="H173" s="6" t="str">
        <f aca="false">IF(F173="Brand","Brand — already winning",IF(AND(E173&lt;=10,D173&lt;0.02,C173&gt;=200),"Ranks page 1 but no clicks → fix title/meta",IF(AND(E173&gt;10,E173&lt;=20,C173&gt;=200),"Page 2 → deepen content / add article",IF(E173&gt;20,"Weak — needs dedicated page","OK"))))</f>
        <v>OK</v>
      </c>
    </row>
    <row r="174" customFormat="false" ht="15" hidden="false" customHeight="false" outlineLevel="0" collapsed="false">
      <c r="A174" s="6" t="s">
        <v>231</v>
      </c>
      <c r="B174" s="6" t="n">
        <v>1</v>
      </c>
      <c r="C174" s="6" t="n">
        <v>27</v>
      </c>
      <c r="D174" s="7" t="n">
        <v>0.037</v>
      </c>
      <c r="E174" s="8" t="n">
        <v>8.85</v>
      </c>
      <c r="F174" s="6" t="s">
        <v>43</v>
      </c>
      <c r="G174" s="6" t="n">
        <f aca="false">IF(AND(E174&gt;=3,E174&lt;=20),ROUND(C174*(1-D174)*(1/E174),0),0)</f>
        <v>3</v>
      </c>
      <c r="H174" s="6" t="str">
        <f aca="false">IF(F174="Brand","Brand — already winning",IF(AND(E174&lt;=10,D174&lt;0.02,C174&gt;=200),"Ranks page 1 but no clicks → fix title/meta",IF(AND(E174&gt;10,E174&lt;=20,C174&gt;=200),"Page 2 → deepen content / add article",IF(E174&gt;20,"Weak — needs dedicated page","OK"))))</f>
        <v>Brand — already winning</v>
      </c>
    </row>
    <row r="175" customFormat="false" ht="15" hidden="false" customHeight="false" outlineLevel="0" collapsed="false">
      <c r="A175" s="6" t="s">
        <v>232</v>
      </c>
      <c r="B175" s="6" t="n">
        <v>1</v>
      </c>
      <c r="C175" s="6" t="n">
        <v>27</v>
      </c>
      <c r="D175" s="7" t="n">
        <v>0.037</v>
      </c>
      <c r="E175" s="8" t="n">
        <v>12</v>
      </c>
      <c r="F175" s="6" t="s">
        <v>54</v>
      </c>
      <c r="G175" s="6" t="n">
        <f aca="false">IF(AND(E175&gt;=3,E175&lt;=20),ROUND(C175*(1-D175)*(1/E175),0),0)</f>
        <v>2</v>
      </c>
      <c r="H175" s="6" t="str">
        <f aca="false">IF(F175="Brand","Brand — already winning",IF(AND(E175&lt;=10,D175&lt;0.02,C175&gt;=200),"Ranks page 1 but no clicks → fix title/meta",IF(AND(E175&gt;10,E175&lt;=20,C175&gt;=200),"Page 2 → deepen content / add article",IF(E175&gt;20,"Weak — needs dedicated page","OK"))))</f>
        <v>OK</v>
      </c>
    </row>
    <row r="176" customFormat="false" ht="15" hidden="false" customHeight="false" outlineLevel="0" collapsed="false">
      <c r="A176" s="6" t="s">
        <v>233</v>
      </c>
      <c r="B176" s="6" t="n">
        <v>1</v>
      </c>
      <c r="C176" s="6" t="n">
        <v>25</v>
      </c>
      <c r="D176" s="7" t="n">
        <v>0.04</v>
      </c>
      <c r="E176" s="8" t="n">
        <v>1.44</v>
      </c>
      <c r="F176" s="6" t="s">
        <v>58</v>
      </c>
      <c r="G176" s="6" t="n">
        <f aca="false">IF(AND(E176&gt;=3,E176&lt;=20),ROUND(C176*(1-D176)*(1/E176),0),0)</f>
        <v>0</v>
      </c>
      <c r="H176" s="6" t="str">
        <f aca="false">IF(F176="Brand","Brand — already winning",IF(AND(E176&lt;=10,D176&lt;0.02,C176&gt;=200),"Ranks page 1 but no clicks → fix title/meta",IF(AND(E176&gt;10,E176&lt;=20,C176&gt;=200),"Page 2 → deepen content / add article",IF(E176&gt;20,"Weak — needs dedicated page","OK"))))</f>
        <v>OK</v>
      </c>
    </row>
    <row r="177" customFormat="false" ht="15" hidden="false" customHeight="false" outlineLevel="0" collapsed="false">
      <c r="A177" s="6" t="s">
        <v>234</v>
      </c>
      <c r="B177" s="6" t="n">
        <v>1</v>
      </c>
      <c r="C177" s="6" t="n">
        <v>24</v>
      </c>
      <c r="D177" s="7" t="n">
        <v>0.0417</v>
      </c>
      <c r="E177" s="8" t="n">
        <v>23.96</v>
      </c>
      <c r="F177" s="6" t="s">
        <v>68</v>
      </c>
      <c r="G177" s="6" t="n">
        <f aca="false">IF(AND(E177&gt;=3,E177&lt;=20),ROUND(C177*(1-D177)*(1/E177),0),0)</f>
        <v>0</v>
      </c>
      <c r="H177" s="6" t="str">
        <f aca="false">IF(F177="Brand","Brand — already winning",IF(AND(E177&lt;=10,D177&lt;0.02,C177&gt;=200),"Ranks page 1 but no clicks → fix title/meta",IF(AND(E177&gt;10,E177&lt;=20,C177&gt;=200),"Page 2 → deepen content / add article",IF(E177&gt;20,"Weak — needs dedicated page","OK"))))</f>
        <v>Weak — needs dedicated page</v>
      </c>
    </row>
    <row r="178" customFormat="false" ht="15" hidden="false" customHeight="false" outlineLevel="0" collapsed="false">
      <c r="A178" s="6" t="s">
        <v>235</v>
      </c>
      <c r="B178" s="6" t="n">
        <v>1</v>
      </c>
      <c r="C178" s="6" t="n">
        <v>23</v>
      </c>
      <c r="D178" s="7" t="n">
        <v>0.0435</v>
      </c>
      <c r="E178" s="8" t="n">
        <v>7.13</v>
      </c>
      <c r="F178" s="6" t="s">
        <v>43</v>
      </c>
      <c r="G178" s="6" t="n">
        <f aca="false">IF(AND(E178&gt;=3,E178&lt;=20),ROUND(C178*(1-D178)*(1/E178),0),0)</f>
        <v>3</v>
      </c>
      <c r="H178" s="6" t="str">
        <f aca="false">IF(F178="Brand","Brand — already winning",IF(AND(E178&lt;=10,D178&lt;0.02,C178&gt;=200),"Ranks page 1 but no clicks → fix title/meta",IF(AND(E178&gt;10,E178&lt;=20,C178&gt;=200),"Page 2 → deepen content / add article",IF(E178&gt;20,"Weak — needs dedicated page","OK"))))</f>
        <v>Brand — already winning</v>
      </c>
    </row>
    <row r="179" customFormat="false" ht="15" hidden="false" customHeight="false" outlineLevel="0" collapsed="false">
      <c r="A179" s="6" t="s">
        <v>236</v>
      </c>
      <c r="B179" s="6" t="n">
        <v>1</v>
      </c>
      <c r="C179" s="6" t="n">
        <v>23</v>
      </c>
      <c r="D179" s="7" t="n">
        <v>0.0435</v>
      </c>
      <c r="E179" s="8" t="n">
        <v>7.52</v>
      </c>
      <c r="F179" s="6" t="s">
        <v>78</v>
      </c>
      <c r="G179" s="6" t="n">
        <f aca="false">IF(AND(E179&gt;=3,E179&lt;=20),ROUND(C179*(1-D179)*(1/E179),0),0)</f>
        <v>3</v>
      </c>
      <c r="H179" s="6" t="str">
        <f aca="false">IF(F179="Brand","Brand — already winning",IF(AND(E179&lt;=10,D179&lt;0.02,C179&gt;=200),"Ranks page 1 but no clicks → fix title/meta",IF(AND(E179&gt;10,E179&lt;=20,C179&gt;=200),"Page 2 → deepen content / add article",IF(E179&gt;20,"Weak — needs dedicated page","OK"))))</f>
        <v>OK</v>
      </c>
    </row>
    <row r="180" customFormat="false" ht="15" hidden="false" customHeight="false" outlineLevel="0" collapsed="false">
      <c r="A180" s="6" t="s">
        <v>237</v>
      </c>
      <c r="B180" s="6" t="n">
        <v>1</v>
      </c>
      <c r="C180" s="6" t="n">
        <v>23</v>
      </c>
      <c r="D180" s="7" t="n">
        <v>0.0435</v>
      </c>
      <c r="E180" s="8" t="n">
        <v>8.87</v>
      </c>
      <c r="F180" s="6" t="s">
        <v>198</v>
      </c>
      <c r="G180" s="6" t="n">
        <f aca="false">IF(AND(E180&gt;=3,E180&lt;=20),ROUND(C180*(1-D180)*(1/E180),0),0)</f>
        <v>2</v>
      </c>
      <c r="H180" s="6" t="str">
        <f aca="false">IF(F180="Brand","Brand — already winning",IF(AND(E180&lt;=10,D180&lt;0.02,C180&gt;=200),"Ranks page 1 but no clicks → fix title/meta",IF(AND(E180&gt;10,E180&lt;=20,C180&gt;=200),"Page 2 → deepen content / add article",IF(E180&gt;20,"Weak — needs dedicated page","OK"))))</f>
        <v>OK</v>
      </c>
    </row>
    <row r="181" customFormat="false" ht="15" hidden="false" customHeight="false" outlineLevel="0" collapsed="false">
      <c r="A181" s="6" t="s">
        <v>238</v>
      </c>
      <c r="B181" s="6" t="n">
        <v>1</v>
      </c>
      <c r="C181" s="6" t="n">
        <v>22</v>
      </c>
      <c r="D181" s="7" t="n">
        <v>0.0455</v>
      </c>
      <c r="E181" s="8" t="n">
        <v>27.5</v>
      </c>
      <c r="F181" s="6" t="s">
        <v>78</v>
      </c>
      <c r="G181" s="6" t="n">
        <f aca="false">IF(AND(E181&gt;=3,E181&lt;=20),ROUND(C181*(1-D181)*(1/E181),0),0)</f>
        <v>0</v>
      </c>
      <c r="H181" s="6" t="str">
        <f aca="false">IF(F181="Brand","Brand — already winning",IF(AND(E181&lt;=10,D181&lt;0.02,C181&gt;=200),"Ranks page 1 but no clicks → fix title/meta",IF(AND(E181&gt;10,E181&lt;=20,C181&gt;=200),"Page 2 → deepen content / add article",IF(E181&gt;20,"Weak — needs dedicated page","OK"))))</f>
        <v>Weak — needs dedicated page</v>
      </c>
    </row>
    <row r="182" customFormat="false" ht="15" hidden="false" customHeight="false" outlineLevel="0" collapsed="false">
      <c r="A182" s="6" t="s">
        <v>239</v>
      </c>
      <c r="B182" s="6" t="n">
        <v>1</v>
      </c>
      <c r="C182" s="6" t="n">
        <v>21</v>
      </c>
      <c r="D182" s="7" t="n">
        <v>0.0476</v>
      </c>
      <c r="E182" s="8" t="n">
        <v>8.24</v>
      </c>
      <c r="F182" s="6" t="s">
        <v>99</v>
      </c>
      <c r="G182" s="6" t="n">
        <f aca="false">IF(AND(E182&gt;=3,E182&lt;=20),ROUND(C182*(1-D182)*(1/E182),0),0)</f>
        <v>2</v>
      </c>
      <c r="H182" s="6" t="str">
        <f aca="false">IF(F182="Brand","Brand — already winning",IF(AND(E182&lt;=10,D182&lt;0.02,C182&gt;=200),"Ranks page 1 but no clicks → fix title/meta",IF(AND(E182&gt;10,E182&lt;=20,C182&gt;=200),"Page 2 → deepen content / add article",IF(E182&gt;20,"Weak — needs dedicated page","OK"))))</f>
        <v>OK</v>
      </c>
    </row>
    <row r="183" customFormat="false" ht="15" hidden="false" customHeight="false" outlineLevel="0" collapsed="false">
      <c r="A183" s="6" t="s">
        <v>240</v>
      </c>
      <c r="B183" s="6" t="n">
        <v>1</v>
      </c>
      <c r="C183" s="6" t="n">
        <v>20</v>
      </c>
      <c r="D183" s="7" t="n">
        <v>0.05</v>
      </c>
      <c r="E183" s="8" t="n">
        <v>4.45</v>
      </c>
      <c r="F183" s="6" t="s">
        <v>99</v>
      </c>
      <c r="G183" s="6" t="n">
        <f aca="false">IF(AND(E183&gt;=3,E183&lt;=20),ROUND(C183*(1-D183)*(1/E183),0),0)</f>
        <v>4</v>
      </c>
      <c r="H183" s="6" t="str">
        <f aca="false">IF(F183="Brand","Brand — already winning",IF(AND(E183&lt;=10,D183&lt;0.02,C183&gt;=200),"Ranks page 1 but no clicks → fix title/meta",IF(AND(E183&gt;10,E183&lt;=20,C183&gt;=200),"Page 2 → deepen content / add article",IF(E183&gt;20,"Weak — needs dedicated page","OK"))))</f>
        <v>OK</v>
      </c>
    </row>
    <row r="184" customFormat="false" ht="15" hidden="false" customHeight="false" outlineLevel="0" collapsed="false">
      <c r="A184" s="6" t="s">
        <v>241</v>
      </c>
      <c r="B184" s="6" t="n">
        <v>1</v>
      </c>
      <c r="C184" s="6" t="n">
        <v>20</v>
      </c>
      <c r="D184" s="7" t="n">
        <v>0.05</v>
      </c>
      <c r="E184" s="8" t="n">
        <v>5.9</v>
      </c>
      <c r="F184" s="6" t="s">
        <v>78</v>
      </c>
      <c r="G184" s="6" t="n">
        <f aca="false">IF(AND(E184&gt;=3,E184&lt;=20),ROUND(C184*(1-D184)*(1/E184),0),0)</f>
        <v>3</v>
      </c>
      <c r="H184" s="6" t="str">
        <f aca="false">IF(F184="Brand","Brand — already winning",IF(AND(E184&lt;=10,D184&lt;0.02,C184&gt;=200),"Ranks page 1 but no clicks → fix title/meta",IF(AND(E184&gt;10,E184&lt;=20,C184&gt;=200),"Page 2 → deepen content / add article",IF(E184&gt;20,"Weak — needs dedicated page","OK"))))</f>
        <v>OK</v>
      </c>
    </row>
    <row r="185" customFormat="false" ht="15" hidden="false" customHeight="false" outlineLevel="0" collapsed="false">
      <c r="A185" s="6" t="s">
        <v>242</v>
      </c>
      <c r="B185" s="6" t="n">
        <v>1</v>
      </c>
      <c r="C185" s="6" t="n">
        <v>20</v>
      </c>
      <c r="D185" s="7" t="n">
        <v>0.05</v>
      </c>
      <c r="E185" s="8" t="n">
        <v>6.15</v>
      </c>
      <c r="F185" s="6" t="s">
        <v>90</v>
      </c>
      <c r="G185" s="6" t="n">
        <f aca="false">IF(AND(E185&gt;=3,E185&lt;=20),ROUND(C185*(1-D185)*(1/E185),0),0)</f>
        <v>3</v>
      </c>
      <c r="H185" s="6" t="str">
        <f aca="false">IF(F185="Brand","Brand — already winning",IF(AND(E185&lt;=10,D185&lt;0.02,C185&gt;=200),"Ranks page 1 but no clicks → fix title/meta",IF(AND(E185&gt;10,E185&lt;=20,C185&gt;=200),"Page 2 → deepen content / add article",IF(E185&gt;20,"Weak — needs dedicated page","OK"))))</f>
        <v>OK</v>
      </c>
    </row>
    <row r="186" customFormat="false" ht="15" hidden="false" customHeight="false" outlineLevel="0" collapsed="false">
      <c r="A186" s="6" t="s">
        <v>243</v>
      </c>
      <c r="B186" s="6" t="n">
        <v>1</v>
      </c>
      <c r="C186" s="6" t="n">
        <v>20</v>
      </c>
      <c r="D186" s="7" t="n">
        <v>0.05</v>
      </c>
      <c r="E186" s="8" t="n">
        <v>6.95</v>
      </c>
      <c r="F186" s="6" t="s">
        <v>90</v>
      </c>
      <c r="G186" s="6" t="n">
        <f aca="false">IF(AND(E186&gt;=3,E186&lt;=20),ROUND(C186*(1-D186)*(1/E186),0),0)</f>
        <v>3</v>
      </c>
      <c r="H186" s="6" t="str">
        <f aca="false">IF(F186="Brand","Brand — already winning",IF(AND(E186&lt;=10,D186&lt;0.02,C186&gt;=200),"Ranks page 1 but no clicks → fix title/meta",IF(AND(E186&gt;10,E186&lt;=20,C186&gt;=200),"Page 2 → deepen content / add article",IF(E186&gt;20,"Weak — needs dedicated page","OK"))))</f>
        <v>OK</v>
      </c>
    </row>
    <row r="187" customFormat="false" ht="15" hidden="false" customHeight="false" outlineLevel="0" collapsed="false">
      <c r="A187" s="6" t="s">
        <v>244</v>
      </c>
      <c r="B187" s="6" t="n">
        <v>1</v>
      </c>
      <c r="C187" s="6" t="n">
        <v>19</v>
      </c>
      <c r="D187" s="7" t="n">
        <v>0.0526</v>
      </c>
      <c r="E187" s="8" t="n">
        <v>5.89</v>
      </c>
      <c r="F187" s="6" t="s">
        <v>48</v>
      </c>
      <c r="G187" s="6" t="n">
        <f aca="false">IF(AND(E187&gt;=3,E187&lt;=20),ROUND(C187*(1-D187)*(1/E187),0),0)</f>
        <v>3</v>
      </c>
      <c r="H187" s="6" t="str">
        <f aca="false">IF(F187="Brand","Brand — already winning",IF(AND(E187&lt;=10,D187&lt;0.02,C187&gt;=200),"Ranks page 1 but no clicks → fix title/meta",IF(AND(E187&gt;10,E187&lt;=20,C187&gt;=200),"Page 2 → deepen content / add article",IF(E187&gt;20,"Weak — needs dedicated page","OK"))))</f>
        <v>OK</v>
      </c>
    </row>
    <row r="188" customFormat="false" ht="15" hidden="false" customHeight="false" outlineLevel="0" collapsed="false">
      <c r="A188" s="6" t="s">
        <v>245</v>
      </c>
      <c r="B188" s="6" t="n">
        <v>1</v>
      </c>
      <c r="C188" s="6" t="n">
        <v>19</v>
      </c>
      <c r="D188" s="7" t="n">
        <v>0.0526</v>
      </c>
      <c r="E188" s="8" t="n">
        <v>8.58</v>
      </c>
      <c r="F188" s="6" t="s">
        <v>68</v>
      </c>
      <c r="G188" s="6" t="n">
        <f aca="false">IF(AND(E188&gt;=3,E188&lt;=20),ROUND(C188*(1-D188)*(1/E188),0),0)</f>
        <v>2</v>
      </c>
      <c r="H188" s="6" t="str">
        <f aca="false">IF(F188="Brand","Brand — already winning",IF(AND(E188&lt;=10,D188&lt;0.02,C188&gt;=200),"Ranks page 1 but no clicks → fix title/meta",IF(AND(E188&gt;10,E188&lt;=20,C188&gt;=200),"Page 2 → deepen content / add article",IF(E188&gt;20,"Weak — needs dedicated page","OK"))))</f>
        <v>OK</v>
      </c>
    </row>
    <row r="189" customFormat="false" ht="15" hidden="false" customHeight="false" outlineLevel="0" collapsed="false">
      <c r="A189" s="6" t="s">
        <v>246</v>
      </c>
      <c r="B189" s="6" t="n">
        <v>1</v>
      </c>
      <c r="C189" s="6" t="n">
        <v>17</v>
      </c>
      <c r="D189" s="7" t="n">
        <v>0.0588</v>
      </c>
      <c r="E189" s="8" t="n">
        <v>2.71</v>
      </c>
      <c r="F189" s="6" t="s">
        <v>48</v>
      </c>
      <c r="G189" s="6" t="n">
        <f aca="false">IF(AND(E189&gt;=3,E189&lt;=20),ROUND(C189*(1-D189)*(1/E189),0),0)</f>
        <v>0</v>
      </c>
      <c r="H189" s="6" t="str">
        <f aca="false">IF(F189="Brand","Brand — already winning",IF(AND(E189&lt;=10,D189&lt;0.02,C189&gt;=200),"Ranks page 1 but no clicks → fix title/meta",IF(AND(E189&gt;10,E189&lt;=20,C189&gt;=200),"Page 2 → deepen content / add article",IF(E189&gt;20,"Weak — needs dedicated page","OK"))))</f>
        <v>OK</v>
      </c>
    </row>
    <row r="190" customFormat="false" ht="15" hidden="false" customHeight="false" outlineLevel="0" collapsed="false">
      <c r="A190" s="6" t="s">
        <v>247</v>
      </c>
      <c r="B190" s="6" t="n">
        <v>1</v>
      </c>
      <c r="C190" s="6" t="n">
        <v>17</v>
      </c>
      <c r="D190" s="7" t="n">
        <v>0.0588</v>
      </c>
      <c r="E190" s="8" t="n">
        <v>11.65</v>
      </c>
      <c r="F190" s="6" t="s">
        <v>78</v>
      </c>
      <c r="G190" s="6" t="n">
        <f aca="false">IF(AND(E190&gt;=3,E190&lt;=20),ROUND(C190*(1-D190)*(1/E190),0),0)</f>
        <v>1</v>
      </c>
      <c r="H190" s="6" t="str">
        <f aca="false">IF(F190="Brand","Brand — already winning",IF(AND(E190&lt;=10,D190&lt;0.02,C190&gt;=200),"Ranks page 1 but no clicks → fix title/meta",IF(AND(E190&gt;10,E190&lt;=20,C190&gt;=200),"Page 2 → deepen content / add article",IF(E190&gt;20,"Weak — needs dedicated page","OK"))))</f>
        <v>OK</v>
      </c>
    </row>
    <row r="191" customFormat="false" ht="15" hidden="false" customHeight="false" outlineLevel="0" collapsed="false">
      <c r="A191" s="6" t="s">
        <v>248</v>
      </c>
      <c r="B191" s="6" t="n">
        <v>1</v>
      </c>
      <c r="C191" s="6" t="n">
        <v>16</v>
      </c>
      <c r="D191" s="7" t="n">
        <v>0.0625</v>
      </c>
      <c r="E191" s="8" t="n">
        <v>8</v>
      </c>
      <c r="F191" s="6" t="s">
        <v>78</v>
      </c>
      <c r="G191" s="6" t="n">
        <f aca="false">IF(AND(E191&gt;=3,E191&lt;=20),ROUND(C191*(1-D191)*(1/E191),0),0)</f>
        <v>2</v>
      </c>
      <c r="H191" s="6" t="str">
        <f aca="false">IF(F191="Brand","Brand — already winning",IF(AND(E191&lt;=10,D191&lt;0.02,C191&gt;=200),"Ranks page 1 but no clicks → fix title/meta",IF(AND(E191&gt;10,E191&lt;=20,C191&gt;=200),"Page 2 → deepen content / add article",IF(E191&gt;20,"Weak — needs dedicated page","OK"))))</f>
        <v>OK</v>
      </c>
    </row>
    <row r="192" customFormat="false" ht="15" hidden="false" customHeight="false" outlineLevel="0" collapsed="false">
      <c r="A192" s="6" t="s">
        <v>249</v>
      </c>
      <c r="B192" s="6" t="n">
        <v>1</v>
      </c>
      <c r="C192" s="6" t="n">
        <v>16</v>
      </c>
      <c r="D192" s="7" t="n">
        <v>0.0625</v>
      </c>
      <c r="E192" s="8" t="n">
        <v>9.56</v>
      </c>
      <c r="F192" s="6" t="s">
        <v>56</v>
      </c>
      <c r="G192" s="6" t="n">
        <f aca="false">IF(AND(E192&gt;=3,E192&lt;=20),ROUND(C192*(1-D192)*(1/E192),0),0)</f>
        <v>2</v>
      </c>
      <c r="H192" s="6" t="str">
        <f aca="false">IF(F192="Brand","Brand — already winning",IF(AND(E192&lt;=10,D192&lt;0.02,C192&gt;=200),"Ranks page 1 but no clicks → fix title/meta",IF(AND(E192&gt;10,E192&lt;=20,C192&gt;=200),"Page 2 → deepen content / add article",IF(E192&gt;20,"Weak — needs dedicated page","OK"))))</f>
        <v>OK</v>
      </c>
    </row>
    <row r="193" customFormat="false" ht="15" hidden="false" customHeight="false" outlineLevel="0" collapsed="false">
      <c r="A193" s="6" t="s">
        <v>250</v>
      </c>
      <c r="B193" s="6" t="n">
        <v>1</v>
      </c>
      <c r="C193" s="6" t="n">
        <v>15</v>
      </c>
      <c r="D193" s="7" t="n">
        <v>0.0667</v>
      </c>
      <c r="E193" s="8" t="n">
        <v>2.87</v>
      </c>
      <c r="F193" s="6" t="s">
        <v>78</v>
      </c>
      <c r="G193" s="6" t="n">
        <f aca="false">IF(AND(E193&gt;=3,E193&lt;=20),ROUND(C193*(1-D193)*(1/E193),0),0)</f>
        <v>0</v>
      </c>
      <c r="H193" s="6" t="str">
        <f aca="false">IF(F193="Brand","Brand — already winning",IF(AND(E193&lt;=10,D193&lt;0.02,C193&gt;=200),"Ranks page 1 but no clicks → fix title/meta",IF(AND(E193&gt;10,E193&lt;=20,C193&gt;=200),"Page 2 → deepen content / add article",IF(E193&gt;20,"Weak — needs dedicated page","OK"))))</f>
        <v>OK</v>
      </c>
    </row>
    <row r="194" customFormat="false" ht="15" hidden="false" customHeight="false" outlineLevel="0" collapsed="false">
      <c r="A194" s="6" t="s">
        <v>251</v>
      </c>
      <c r="B194" s="6" t="n">
        <v>1</v>
      </c>
      <c r="C194" s="6" t="n">
        <v>15</v>
      </c>
      <c r="D194" s="7" t="n">
        <v>0.0667</v>
      </c>
      <c r="E194" s="8" t="n">
        <v>9.53</v>
      </c>
      <c r="F194" s="6" t="s">
        <v>78</v>
      </c>
      <c r="G194" s="6" t="n">
        <f aca="false">IF(AND(E194&gt;=3,E194&lt;=20),ROUND(C194*(1-D194)*(1/E194),0),0)</f>
        <v>1</v>
      </c>
      <c r="H194" s="6" t="str">
        <f aca="false">IF(F194="Brand","Brand — already winning",IF(AND(E194&lt;=10,D194&lt;0.02,C194&gt;=200),"Ranks page 1 but no clicks → fix title/meta",IF(AND(E194&gt;10,E194&lt;=20,C194&gt;=200),"Page 2 → deepen content / add article",IF(E194&gt;20,"Weak — needs dedicated page","OK"))))</f>
        <v>OK</v>
      </c>
    </row>
    <row r="195" customFormat="false" ht="15" hidden="false" customHeight="false" outlineLevel="0" collapsed="false">
      <c r="A195" s="6" t="s">
        <v>252</v>
      </c>
      <c r="B195" s="6" t="n">
        <v>1</v>
      </c>
      <c r="C195" s="6" t="n">
        <v>14</v>
      </c>
      <c r="D195" s="7" t="n">
        <v>0.0714</v>
      </c>
      <c r="E195" s="8" t="n">
        <v>7.14</v>
      </c>
      <c r="F195" s="6" t="s">
        <v>78</v>
      </c>
      <c r="G195" s="6" t="n">
        <f aca="false">IF(AND(E195&gt;=3,E195&lt;=20),ROUND(C195*(1-D195)*(1/E195),0),0)</f>
        <v>2</v>
      </c>
      <c r="H195" s="6" t="str">
        <f aca="false">IF(F195="Brand","Brand — already winning",IF(AND(E195&lt;=10,D195&lt;0.02,C195&gt;=200),"Ranks page 1 but no clicks → fix title/meta",IF(AND(E195&gt;10,E195&lt;=20,C195&gt;=200),"Page 2 → deepen content / add article",IF(E195&gt;20,"Weak — needs dedicated page","OK"))))</f>
        <v>OK</v>
      </c>
    </row>
    <row r="196" customFormat="false" ht="15" hidden="false" customHeight="false" outlineLevel="0" collapsed="false">
      <c r="A196" s="6" t="s">
        <v>253</v>
      </c>
      <c r="B196" s="6" t="n">
        <v>1</v>
      </c>
      <c r="C196" s="6" t="n">
        <v>13</v>
      </c>
      <c r="D196" s="7" t="n">
        <v>0.0769</v>
      </c>
      <c r="E196" s="8" t="n">
        <v>3.54</v>
      </c>
      <c r="F196" s="6" t="s">
        <v>63</v>
      </c>
      <c r="G196" s="6" t="n">
        <f aca="false">IF(AND(E196&gt;=3,E196&lt;=20),ROUND(C196*(1-D196)*(1/E196),0),0)</f>
        <v>3</v>
      </c>
      <c r="H196" s="6" t="str">
        <f aca="false">IF(F196="Brand","Brand — already winning",IF(AND(E196&lt;=10,D196&lt;0.02,C196&gt;=200),"Ranks page 1 but no clicks → fix title/meta",IF(AND(E196&gt;10,E196&lt;=20,C196&gt;=200),"Page 2 → deepen content / add article",IF(E196&gt;20,"Weak — needs dedicated page","OK"))))</f>
        <v>OK</v>
      </c>
    </row>
    <row r="197" customFormat="false" ht="15" hidden="false" customHeight="false" outlineLevel="0" collapsed="false">
      <c r="A197" s="6" t="s">
        <v>254</v>
      </c>
      <c r="B197" s="6" t="n">
        <v>1</v>
      </c>
      <c r="C197" s="6" t="n">
        <v>13</v>
      </c>
      <c r="D197" s="7" t="n">
        <v>0.0769</v>
      </c>
      <c r="E197" s="8" t="n">
        <v>5.08</v>
      </c>
      <c r="F197" s="6" t="s">
        <v>48</v>
      </c>
      <c r="G197" s="6" t="n">
        <f aca="false">IF(AND(E197&gt;=3,E197&lt;=20),ROUND(C197*(1-D197)*(1/E197),0),0)</f>
        <v>2</v>
      </c>
      <c r="H197" s="6" t="str">
        <f aca="false">IF(F197="Brand","Brand — already winning",IF(AND(E197&lt;=10,D197&lt;0.02,C197&gt;=200),"Ranks page 1 but no clicks → fix title/meta",IF(AND(E197&gt;10,E197&lt;=20,C197&gt;=200),"Page 2 → deepen content / add article",IF(E197&gt;20,"Weak — needs dedicated page","OK"))))</f>
        <v>OK</v>
      </c>
    </row>
    <row r="198" customFormat="false" ht="15" hidden="false" customHeight="false" outlineLevel="0" collapsed="false">
      <c r="A198" s="6" t="s">
        <v>255</v>
      </c>
      <c r="B198" s="6" t="n">
        <v>1</v>
      </c>
      <c r="C198" s="6" t="n">
        <v>11</v>
      </c>
      <c r="D198" s="7" t="n">
        <v>0.0909</v>
      </c>
      <c r="E198" s="8" t="n">
        <v>3.09</v>
      </c>
      <c r="F198" s="6" t="s">
        <v>78</v>
      </c>
      <c r="G198" s="6" t="n">
        <f aca="false">IF(AND(E198&gt;=3,E198&lt;=20),ROUND(C198*(1-D198)*(1/E198),0),0)</f>
        <v>3</v>
      </c>
      <c r="H198" s="6" t="str">
        <f aca="false">IF(F198="Brand","Brand — already winning",IF(AND(E198&lt;=10,D198&lt;0.02,C198&gt;=200),"Ranks page 1 but no clicks → fix title/meta",IF(AND(E198&gt;10,E198&lt;=20,C198&gt;=200),"Page 2 → deepen content / add article",IF(E198&gt;20,"Weak — needs dedicated page","OK"))))</f>
        <v>OK</v>
      </c>
    </row>
    <row r="199" customFormat="false" ht="15" hidden="false" customHeight="false" outlineLevel="0" collapsed="false">
      <c r="A199" s="6" t="s">
        <v>256</v>
      </c>
      <c r="B199" s="6" t="n">
        <v>1</v>
      </c>
      <c r="C199" s="6" t="n">
        <v>11</v>
      </c>
      <c r="D199" s="7" t="n">
        <v>0.0909</v>
      </c>
      <c r="E199" s="8" t="n">
        <v>3.18</v>
      </c>
      <c r="F199" s="6" t="s">
        <v>58</v>
      </c>
      <c r="G199" s="6" t="n">
        <f aca="false">IF(AND(E199&gt;=3,E199&lt;=20),ROUND(C199*(1-D199)*(1/E199),0),0)</f>
        <v>3</v>
      </c>
      <c r="H199" s="6" t="str">
        <f aca="false">IF(F199="Brand","Brand — already winning",IF(AND(E199&lt;=10,D199&lt;0.02,C199&gt;=200),"Ranks page 1 but no clicks → fix title/meta",IF(AND(E199&gt;10,E199&lt;=20,C199&gt;=200),"Page 2 → deepen content / add article",IF(E199&gt;20,"Weak — needs dedicated page","OK"))))</f>
        <v>OK</v>
      </c>
    </row>
    <row r="200" customFormat="false" ht="15" hidden="false" customHeight="false" outlineLevel="0" collapsed="false">
      <c r="A200" s="6" t="s">
        <v>257</v>
      </c>
      <c r="B200" s="6" t="n">
        <v>1</v>
      </c>
      <c r="C200" s="6" t="n">
        <v>11</v>
      </c>
      <c r="D200" s="7" t="n">
        <v>0.0909</v>
      </c>
      <c r="E200" s="8" t="n">
        <v>3.55</v>
      </c>
      <c r="F200" s="6" t="s">
        <v>58</v>
      </c>
      <c r="G200" s="6" t="n">
        <f aca="false">IF(AND(E200&gt;=3,E200&lt;=20),ROUND(C200*(1-D200)*(1/E200),0),0)</f>
        <v>3</v>
      </c>
      <c r="H200" s="6" t="str">
        <f aca="false">IF(F200="Brand","Brand — already winning",IF(AND(E200&lt;=10,D200&lt;0.02,C200&gt;=200),"Ranks page 1 but no clicks → fix title/meta",IF(AND(E200&gt;10,E200&lt;=20,C200&gt;=200),"Page 2 → deepen content / add article",IF(E200&gt;20,"Weak — needs dedicated page","OK"))))</f>
        <v>OK</v>
      </c>
    </row>
    <row r="201" customFormat="false" ht="15" hidden="false" customHeight="false" outlineLevel="0" collapsed="false">
      <c r="A201" s="6" t="s">
        <v>258</v>
      </c>
      <c r="B201" s="6" t="n">
        <v>1</v>
      </c>
      <c r="C201" s="6" t="n">
        <v>11</v>
      </c>
      <c r="D201" s="7" t="n">
        <v>0.0909</v>
      </c>
      <c r="E201" s="8" t="n">
        <v>4.55</v>
      </c>
      <c r="F201" s="6" t="s">
        <v>68</v>
      </c>
      <c r="G201" s="6" t="n">
        <f aca="false">IF(AND(E201&gt;=3,E201&lt;=20),ROUND(C201*(1-D201)*(1/E201),0),0)</f>
        <v>2</v>
      </c>
      <c r="H201" s="6" t="str">
        <f aca="false">IF(F201="Brand","Brand — already winning",IF(AND(E201&lt;=10,D201&lt;0.02,C201&gt;=200),"Ranks page 1 but no clicks → fix title/meta",IF(AND(E201&gt;10,E201&lt;=20,C201&gt;=200),"Page 2 → deepen content / add article",IF(E201&gt;20,"Weak — needs dedicated page","OK"))))</f>
        <v>OK</v>
      </c>
    </row>
    <row r="202" customFormat="false" ht="15" hidden="false" customHeight="false" outlineLevel="0" collapsed="false">
      <c r="A202" s="6" t="s">
        <v>259</v>
      </c>
      <c r="B202" s="6" t="n">
        <v>1</v>
      </c>
      <c r="C202" s="6" t="n">
        <v>11</v>
      </c>
      <c r="D202" s="7" t="n">
        <v>0.0909</v>
      </c>
      <c r="E202" s="8" t="n">
        <v>5.45</v>
      </c>
      <c r="F202" s="6" t="s">
        <v>78</v>
      </c>
      <c r="G202" s="6" t="n">
        <f aca="false">IF(AND(E202&gt;=3,E202&lt;=20),ROUND(C202*(1-D202)*(1/E202),0),0)</f>
        <v>2</v>
      </c>
      <c r="H202" s="6" t="str">
        <f aca="false">IF(F202="Brand","Brand — already winning",IF(AND(E202&lt;=10,D202&lt;0.02,C202&gt;=200),"Ranks page 1 but no clicks → fix title/meta",IF(AND(E202&gt;10,E202&lt;=20,C202&gt;=200),"Page 2 → deepen content / add article",IF(E202&gt;20,"Weak — needs dedicated page","OK"))))</f>
        <v>OK</v>
      </c>
    </row>
    <row r="203" customFormat="false" ht="15" hidden="false" customHeight="false" outlineLevel="0" collapsed="false">
      <c r="A203" s="6" t="s">
        <v>260</v>
      </c>
      <c r="B203" s="6" t="n">
        <v>1</v>
      </c>
      <c r="C203" s="6" t="n">
        <v>10</v>
      </c>
      <c r="D203" s="7" t="n">
        <v>0.1</v>
      </c>
      <c r="E203" s="8" t="n">
        <v>3</v>
      </c>
      <c r="F203" s="6" t="s">
        <v>58</v>
      </c>
      <c r="G203" s="6" t="n">
        <f aca="false">IF(AND(E203&gt;=3,E203&lt;=20),ROUND(C203*(1-D203)*(1/E203),0),0)</f>
        <v>3</v>
      </c>
      <c r="H203" s="6" t="str">
        <f aca="false">IF(F203="Brand","Brand — already winning",IF(AND(E203&lt;=10,D203&lt;0.02,C203&gt;=200),"Ranks page 1 but no clicks → fix title/meta",IF(AND(E203&gt;10,E203&lt;=20,C203&gt;=200),"Page 2 → deepen content / add article",IF(E203&gt;20,"Weak — needs dedicated page","OK"))))</f>
        <v>OK</v>
      </c>
    </row>
    <row r="204" customFormat="false" ht="15" hidden="false" customHeight="false" outlineLevel="0" collapsed="false">
      <c r="A204" s="6" t="s">
        <v>261</v>
      </c>
      <c r="B204" s="6" t="n">
        <v>1</v>
      </c>
      <c r="C204" s="6" t="n">
        <v>10</v>
      </c>
      <c r="D204" s="7" t="n">
        <v>0.1</v>
      </c>
      <c r="E204" s="8" t="n">
        <v>30.5</v>
      </c>
      <c r="F204" s="6" t="s">
        <v>90</v>
      </c>
      <c r="G204" s="6" t="n">
        <f aca="false">IF(AND(E204&gt;=3,E204&lt;=20),ROUND(C204*(1-D204)*(1/E204),0),0)</f>
        <v>0</v>
      </c>
      <c r="H204" s="6" t="str">
        <f aca="false">IF(F204="Brand","Brand — already winning",IF(AND(E204&lt;=10,D204&lt;0.02,C204&gt;=200),"Ranks page 1 but no clicks → fix title/meta",IF(AND(E204&gt;10,E204&lt;=20,C204&gt;=200),"Page 2 → deepen content / add article",IF(E204&gt;20,"Weak — needs dedicated page","OK"))))</f>
        <v>Weak — needs dedicated page</v>
      </c>
    </row>
    <row r="205" customFormat="false" ht="15" hidden="false" customHeight="false" outlineLevel="0" collapsed="false">
      <c r="A205" s="6" t="s">
        <v>262</v>
      </c>
      <c r="B205" s="6" t="n">
        <v>1</v>
      </c>
      <c r="C205" s="6" t="n">
        <v>9</v>
      </c>
      <c r="D205" s="7" t="n">
        <v>0.1111</v>
      </c>
      <c r="E205" s="8" t="n">
        <v>4.33</v>
      </c>
      <c r="F205" s="6" t="s">
        <v>58</v>
      </c>
      <c r="G205" s="6" t="n">
        <f aca="false">IF(AND(E205&gt;=3,E205&lt;=20),ROUND(C205*(1-D205)*(1/E205),0),0)</f>
        <v>2</v>
      </c>
      <c r="H205" s="6" t="str">
        <f aca="false">IF(F205="Brand","Brand — already winning",IF(AND(E205&lt;=10,D205&lt;0.02,C205&gt;=200),"Ranks page 1 but no clicks → fix title/meta",IF(AND(E205&gt;10,E205&lt;=20,C205&gt;=200),"Page 2 → deepen content / add article",IF(E205&gt;20,"Weak — needs dedicated page","OK"))))</f>
        <v>OK</v>
      </c>
    </row>
    <row r="206" customFormat="false" ht="15" hidden="false" customHeight="false" outlineLevel="0" collapsed="false">
      <c r="A206" s="6" t="s">
        <v>263</v>
      </c>
      <c r="B206" s="6" t="n">
        <v>1</v>
      </c>
      <c r="C206" s="6" t="n">
        <v>9</v>
      </c>
      <c r="D206" s="7" t="n">
        <v>0.1111</v>
      </c>
      <c r="E206" s="8" t="n">
        <v>19.11</v>
      </c>
      <c r="F206" s="6" t="s">
        <v>78</v>
      </c>
      <c r="G206" s="6" t="n">
        <f aca="false">IF(AND(E206&gt;=3,E206&lt;=20),ROUND(C206*(1-D206)*(1/E206),0),0)</f>
        <v>0</v>
      </c>
      <c r="H206" s="6" t="str">
        <f aca="false">IF(F206="Brand","Brand — already winning",IF(AND(E206&lt;=10,D206&lt;0.02,C206&gt;=200),"Ranks page 1 but no clicks → fix title/meta",IF(AND(E206&gt;10,E206&lt;=20,C206&gt;=200),"Page 2 → deepen content / add article",IF(E206&gt;20,"Weak — needs dedicated page","OK"))))</f>
        <v>OK</v>
      </c>
    </row>
    <row r="207" customFormat="false" ht="15" hidden="false" customHeight="false" outlineLevel="0" collapsed="false">
      <c r="A207" s="6" t="s">
        <v>264</v>
      </c>
      <c r="B207" s="6" t="n">
        <v>1</v>
      </c>
      <c r="C207" s="6" t="n">
        <v>8</v>
      </c>
      <c r="D207" s="7" t="n">
        <v>0.125</v>
      </c>
      <c r="E207" s="8" t="n">
        <v>1</v>
      </c>
      <c r="F207" s="6" t="s">
        <v>63</v>
      </c>
      <c r="G207" s="6" t="n">
        <f aca="false">IF(AND(E207&gt;=3,E207&lt;=20),ROUND(C207*(1-D207)*(1/E207),0),0)</f>
        <v>0</v>
      </c>
      <c r="H207" s="6" t="str">
        <f aca="false">IF(F207="Brand","Brand — already winning",IF(AND(E207&lt;=10,D207&lt;0.02,C207&gt;=200),"Ranks page 1 but no clicks → fix title/meta",IF(AND(E207&gt;10,E207&lt;=20,C207&gt;=200),"Page 2 → deepen content / add article",IF(E207&gt;20,"Weak — needs dedicated page","OK"))))</f>
        <v>OK</v>
      </c>
    </row>
    <row r="208" customFormat="false" ht="15" hidden="false" customHeight="false" outlineLevel="0" collapsed="false">
      <c r="A208" s="6" t="s">
        <v>265</v>
      </c>
      <c r="B208" s="6" t="n">
        <v>1</v>
      </c>
      <c r="C208" s="6" t="n">
        <v>8</v>
      </c>
      <c r="D208" s="7" t="n">
        <v>0.125</v>
      </c>
      <c r="E208" s="8" t="n">
        <v>3</v>
      </c>
      <c r="F208" s="6" t="s">
        <v>58</v>
      </c>
      <c r="G208" s="6" t="n">
        <f aca="false">IF(AND(E208&gt;=3,E208&lt;=20),ROUND(C208*(1-D208)*(1/E208),0),0)</f>
        <v>2</v>
      </c>
      <c r="H208" s="6" t="str">
        <f aca="false">IF(F208="Brand","Brand — already winning",IF(AND(E208&lt;=10,D208&lt;0.02,C208&gt;=200),"Ranks page 1 but no clicks → fix title/meta",IF(AND(E208&gt;10,E208&lt;=20,C208&gt;=200),"Page 2 → deepen content / add article",IF(E208&gt;20,"Weak — needs dedicated page","OK"))))</f>
        <v>OK</v>
      </c>
    </row>
    <row r="209" customFormat="false" ht="15" hidden="false" customHeight="false" outlineLevel="0" collapsed="false">
      <c r="A209" s="6" t="s">
        <v>266</v>
      </c>
      <c r="B209" s="6" t="n">
        <v>1</v>
      </c>
      <c r="C209" s="6" t="n">
        <v>8</v>
      </c>
      <c r="D209" s="7" t="n">
        <v>0.125</v>
      </c>
      <c r="E209" s="8" t="n">
        <v>5.12</v>
      </c>
      <c r="F209" s="6" t="s">
        <v>68</v>
      </c>
      <c r="G209" s="6" t="n">
        <f aca="false">IF(AND(E209&gt;=3,E209&lt;=20),ROUND(C209*(1-D209)*(1/E209),0),0)</f>
        <v>1</v>
      </c>
      <c r="H209" s="6" t="str">
        <f aca="false">IF(F209="Brand","Brand — already winning",IF(AND(E209&lt;=10,D209&lt;0.02,C209&gt;=200),"Ranks page 1 but no clicks → fix title/meta",IF(AND(E209&gt;10,E209&lt;=20,C209&gt;=200),"Page 2 → deepen content / add article",IF(E209&gt;20,"Weak — needs dedicated page","OK"))))</f>
        <v>OK</v>
      </c>
    </row>
    <row r="210" customFormat="false" ht="15" hidden="false" customHeight="false" outlineLevel="0" collapsed="false">
      <c r="A210" s="6" t="s">
        <v>267</v>
      </c>
      <c r="B210" s="6" t="n">
        <v>1</v>
      </c>
      <c r="C210" s="6" t="n">
        <v>8</v>
      </c>
      <c r="D210" s="7" t="n">
        <v>0.125</v>
      </c>
      <c r="E210" s="8" t="n">
        <v>6.5</v>
      </c>
      <c r="F210" s="6" t="s">
        <v>78</v>
      </c>
      <c r="G210" s="6" t="n">
        <f aca="false">IF(AND(E210&gt;=3,E210&lt;=20),ROUND(C210*(1-D210)*(1/E210),0),0)</f>
        <v>1</v>
      </c>
      <c r="H210" s="6" t="str">
        <f aca="false">IF(F210="Brand","Brand — already winning",IF(AND(E210&lt;=10,D210&lt;0.02,C210&gt;=200),"Ranks page 1 but no clicks → fix title/meta",IF(AND(E210&gt;10,E210&lt;=20,C210&gt;=200),"Page 2 → deepen content / add article",IF(E210&gt;20,"Weak — needs dedicated page","OK"))))</f>
        <v>OK</v>
      </c>
    </row>
    <row r="211" customFormat="false" ht="15" hidden="false" customHeight="false" outlineLevel="0" collapsed="false">
      <c r="A211" s="6" t="s">
        <v>268</v>
      </c>
      <c r="B211" s="6" t="n">
        <v>1</v>
      </c>
      <c r="C211" s="6" t="n">
        <v>8</v>
      </c>
      <c r="D211" s="7" t="n">
        <v>0.125</v>
      </c>
      <c r="E211" s="8" t="n">
        <v>7</v>
      </c>
      <c r="F211" s="6" t="s">
        <v>54</v>
      </c>
      <c r="G211" s="6" t="n">
        <f aca="false">IF(AND(E211&gt;=3,E211&lt;=20),ROUND(C211*(1-D211)*(1/E211),0),0)</f>
        <v>1</v>
      </c>
      <c r="H211" s="6" t="str">
        <f aca="false">IF(F211="Brand","Brand — already winning",IF(AND(E211&lt;=10,D211&lt;0.02,C211&gt;=200),"Ranks page 1 but no clicks → fix title/meta",IF(AND(E211&gt;10,E211&lt;=20,C211&gt;=200),"Page 2 → deepen content / add article",IF(E211&gt;20,"Weak — needs dedicated page","OK"))))</f>
        <v>OK</v>
      </c>
    </row>
    <row r="212" customFormat="false" ht="15" hidden="false" customHeight="false" outlineLevel="0" collapsed="false">
      <c r="A212" s="6" t="s">
        <v>269</v>
      </c>
      <c r="B212" s="6" t="n">
        <v>1</v>
      </c>
      <c r="C212" s="6" t="n">
        <v>8</v>
      </c>
      <c r="D212" s="7" t="n">
        <v>0.125</v>
      </c>
      <c r="E212" s="8" t="n">
        <v>7.75</v>
      </c>
      <c r="F212" s="6" t="s">
        <v>63</v>
      </c>
      <c r="G212" s="6" t="n">
        <f aca="false">IF(AND(E212&gt;=3,E212&lt;=20),ROUND(C212*(1-D212)*(1/E212),0),0)</f>
        <v>1</v>
      </c>
      <c r="H212" s="6" t="str">
        <f aca="false">IF(F212="Brand","Brand — already winning",IF(AND(E212&lt;=10,D212&lt;0.02,C212&gt;=200),"Ranks page 1 but no clicks → fix title/meta",IF(AND(E212&gt;10,E212&lt;=20,C212&gt;=200),"Page 2 → deepen content / add article",IF(E212&gt;20,"Weak — needs dedicated page","OK"))))</f>
        <v>OK</v>
      </c>
    </row>
    <row r="213" customFormat="false" ht="15" hidden="false" customHeight="false" outlineLevel="0" collapsed="false">
      <c r="A213" s="6" t="s">
        <v>270</v>
      </c>
      <c r="B213" s="6" t="n">
        <v>1</v>
      </c>
      <c r="C213" s="6" t="n">
        <v>8</v>
      </c>
      <c r="D213" s="7" t="n">
        <v>0.125</v>
      </c>
      <c r="E213" s="8" t="n">
        <v>8.62</v>
      </c>
      <c r="F213" s="6" t="s">
        <v>54</v>
      </c>
      <c r="G213" s="6" t="n">
        <f aca="false">IF(AND(E213&gt;=3,E213&lt;=20),ROUND(C213*(1-D213)*(1/E213),0),0)</f>
        <v>1</v>
      </c>
      <c r="H213" s="6" t="str">
        <f aca="false">IF(F213="Brand","Brand — already winning",IF(AND(E213&lt;=10,D213&lt;0.02,C213&gt;=200),"Ranks page 1 but no clicks → fix title/meta",IF(AND(E213&gt;10,E213&lt;=20,C213&gt;=200),"Page 2 → deepen content / add article",IF(E213&gt;20,"Weak — needs dedicated page","OK"))))</f>
        <v>OK</v>
      </c>
    </row>
    <row r="214" customFormat="false" ht="15" hidden="false" customHeight="false" outlineLevel="0" collapsed="false">
      <c r="A214" s="6" t="s">
        <v>271</v>
      </c>
      <c r="B214" s="6" t="n">
        <v>1</v>
      </c>
      <c r="C214" s="6" t="n">
        <v>7</v>
      </c>
      <c r="D214" s="7" t="n">
        <v>0.1429</v>
      </c>
      <c r="E214" s="8" t="n">
        <v>5.43</v>
      </c>
      <c r="F214" s="6" t="s">
        <v>78</v>
      </c>
      <c r="G214" s="6" t="n">
        <f aca="false">IF(AND(E214&gt;=3,E214&lt;=20),ROUND(C214*(1-D214)*(1/E214),0),0)</f>
        <v>1</v>
      </c>
      <c r="H214" s="6" t="str">
        <f aca="false">IF(F214="Brand","Brand — already winning",IF(AND(E214&lt;=10,D214&lt;0.02,C214&gt;=200),"Ranks page 1 but no clicks → fix title/meta",IF(AND(E214&gt;10,E214&lt;=20,C214&gt;=200),"Page 2 → deepen content / add article",IF(E214&gt;20,"Weak — needs dedicated page","OK"))))</f>
        <v>OK</v>
      </c>
    </row>
    <row r="215" customFormat="false" ht="15" hidden="false" customHeight="false" outlineLevel="0" collapsed="false">
      <c r="A215" s="6" t="s">
        <v>272</v>
      </c>
      <c r="B215" s="6" t="n">
        <v>1</v>
      </c>
      <c r="C215" s="6" t="n">
        <v>7</v>
      </c>
      <c r="D215" s="7" t="n">
        <v>0.1429</v>
      </c>
      <c r="E215" s="8" t="n">
        <v>5.57</v>
      </c>
      <c r="F215" s="6" t="s">
        <v>78</v>
      </c>
      <c r="G215" s="6" t="n">
        <f aca="false">IF(AND(E215&gt;=3,E215&lt;=20),ROUND(C215*(1-D215)*(1/E215),0),0)</f>
        <v>1</v>
      </c>
      <c r="H215" s="6" t="str">
        <f aca="false">IF(F215="Brand","Brand — already winning",IF(AND(E215&lt;=10,D215&lt;0.02,C215&gt;=200),"Ranks page 1 but no clicks → fix title/meta",IF(AND(E215&gt;10,E215&lt;=20,C215&gt;=200),"Page 2 → deepen content / add article",IF(E215&gt;20,"Weak — needs dedicated page","OK"))))</f>
        <v>OK</v>
      </c>
    </row>
    <row r="216" customFormat="false" ht="15" hidden="false" customHeight="false" outlineLevel="0" collapsed="false">
      <c r="A216" s="6" t="s">
        <v>273</v>
      </c>
      <c r="B216" s="6" t="n">
        <v>1</v>
      </c>
      <c r="C216" s="6" t="n">
        <v>7</v>
      </c>
      <c r="D216" s="7" t="n">
        <v>0.1429</v>
      </c>
      <c r="E216" s="8" t="n">
        <v>6.14</v>
      </c>
      <c r="F216" s="6" t="s">
        <v>78</v>
      </c>
      <c r="G216" s="6" t="n">
        <f aca="false">IF(AND(E216&gt;=3,E216&lt;=20),ROUND(C216*(1-D216)*(1/E216),0),0)</f>
        <v>1</v>
      </c>
      <c r="H216" s="6" t="str">
        <f aca="false">IF(F216="Brand","Brand — already winning",IF(AND(E216&lt;=10,D216&lt;0.02,C216&gt;=200),"Ranks page 1 but no clicks → fix title/meta",IF(AND(E216&gt;10,E216&lt;=20,C216&gt;=200),"Page 2 → deepen content / add article",IF(E216&gt;20,"Weak — needs dedicated page","OK"))))</f>
        <v>OK</v>
      </c>
    </row>
    <row r="217" customFormat="false" ht="15" hidden="false" customHeight="false" outlineLevel="0" collapsed="false">
      <c r="A217" s="6" t="s">
        <v>274</v>
      </c>
      <c r="B217" s="6" t="n">
        <v>1</v>
      </c>
      <c r="C217" s="6" t="n">
        <v>7</v>
      </c>
      <c r="D217" s="7" t="n">
        <v>0.1429</v>
      </c>
      <c r="E217" s="8" t="n">
        <v>9.29</v>
      </c>
      <c r="F217" s="6" t="s">
        <v>78</v>
      </c>
      <c r="G217" s="6" t="n">
        <f aca="false">IF(AND(E217&gt;=3,E217&lt;=20),ROUND(C217*(1-D217)*(1/E217),0),0)</f>
        <v>1</v>
      </c>
      <c r="H217" s="6" t="str">
        <f aca="false">IF(F217="Brand","Brand — already winning",IF(AND(E217&lt;=10,D217&lt;0.02,C217&gt;=200),"Ranks page 1 but no clicks → fix title/meta",IF(AND(E217&gt;10,E217&lt;=20,C217&gt;=200),"Page 2 → deepen content / add article",IF(E217&gt;20,"Weak — needs dedicated page","OK"))))</f>
        <v>OK</v>
      </c>
    </row>
    <row r="218" customFormat="false" ht="15" hidden="false" customHeight="false" outlineLevel="0" collapsed="false">
      <c r="A218" s="6" t="s">
        <v>275</v>
      </c>
      <c r="B218" s="6" t="n">
        <v>1</v>
      </c>
      <c r="C218" s="6" t="n">
        <v>7</v>
      </c>
      <c r="D218" s="7" t="n">
        <v>0.1429</v>
      </c>
      <c r="E218" s="8" t="n">
        <v>9.57</v>
      </c>
      <c r="F218" s="6" t="s">
        <v>78</v>
      </c>
      <c r="G218" s="6" t="n">
        <f aca="false">IF(AND(E218&gt;=3,E218&lt;=20),ROUND(C218*(1-D218)*(1/E218),0),0)</f>
        <v>1</v>
      </c>
      <c r="H218" s="6" t="str">
        <f aca="false">IF(F218="Brand","Brand — already winning",IF(AND(E218&lt;=10,D218&lt;0.02,C218&gt;=200),"Ranks page 1 but no clicks → fix title/meta",IF(AND(E218&gt;10,E218&lt;=20,C218&gt;=200),"Page 2 → deepen content / add article",IF(E218&gt;20,"Weak — needs dedicated page","OK"))))</f>
        <v>OK</v>
      </c>
    </row>
    <row r="219" customFormat="false" ht="15" hidden="false" customHeight="false" outlineLevel="0" collapsed="false">
      <c r="A219" s="6" t="s">
        <v>276</v>
      </c>
      <c r="B219" s="6" t="n">
        <v>1</v>
      </c>
      <c r="C219" s="6" t="n">
        <v>7</v>
      </c>
      <c r="D219" s="7" t="n">
        <v>0.1429</v>
      </c>
      <c r="E219" s="8" t="n">
        <v>14.71</v>
      </c>
      <c r="F219" s="6" t="s">
        <v>54</v>
      </c>
      <c r="G219" s="6" t="n">
        <f aca="false">IF(AND(E219&gt;=3,E219&lt;=20),ROUND(C219*(1-D219)*(1/E219),0),0)</f>
        <v>0</v>
      </c>
      <c r="H219" s="6" t="str">
        <f aca="false">IF(F219="Brand","Brand — already winning",IF(AND(E219&lt;=10,D219&lt;0.02,C219&gt;=200),"Ranks page 1 but no clicks → fix title/meta",IF(AND(E219&gt;10,E219&lt;=20,C219&gt;=200),"Page 2 → deepen content / add article",IF(E219&gt;20,"Weak — needs dedicated page","OK"))))</f>
        <v>OK</v>
      </c>
    </row>
    <row r="220" customFormat="false" ht="15" hidden="false" customHeight="false" outlineLevel="0" collapsed="false">
      <c r="A220" s="6" t="s">
        <v>277</v>
      </c>
      <c r="B220" s="6" t="n">
        <v>1</v>
      </c>
      <c r="C220" s="6" t="n">
        <v>6</v>
      </c>
      <c r="D220" s="7" t="n">
        <v>0.1667</v>
      </c>
      <c r="E220" s="8" t="n">
        <v>2.83</v>
      </c>
      <c r="F220" s="6" t="s">
        <v>78</v>
      </c>
      <c r="G220" s="6" t="n">
        <f aca="false">IF(AND(E220&gt;=3,E220&lt;=20),ROUND(C220*(1-D220)*(1/E220),0),0)</f>
        <v>0</v>
      </c>
      <c r="H220" s="6" t="str">
        <f aca="false">IF(F220="Brand","Brand — already winning",IF(AND(E220&lt;=10,D220&lt;0.02,C220&gt;=200),"Ranks page 1 but no clicks → fix title/meta",IF(AND(E220&gt;10,E220&lt;=20,C220&gt;=200),"Page 2 → deepen content / add article",IF(E220&gt;20,"Weak — needs dedicated page","OK"))))</f>
        <v>OK</v>
      </c>
    </row>
    <row r="221" customFormat="false" ht="15" hidden="false" customHeight="false" outlineLevel="0" collapsed="false">
      <c r="A221" s="6" t="s">
        <v>278</v>
      </c>
      <c r="B221" s="6" t="n">
        <v>1</v>
      </c>
      <c r="C221" s="6" t="n">
        <v>6</v>
      </c>
      <c r="D221" s="7" t="n">
        <v>0.1667</v>
      </c>
      <c r="E221" s="8" t="n">
        <v>4.17</v>
      </c>
      <c r="F221" s="6" t="s">
        <v>58</v>
      </c>
      <c r="G221" s="6" t="n">
        <f aca="false">IF(AND(E221&gt;=3,E221&lt;=20),ROUND(C221*(1-D221)*(1/E221),0),0)</f>
        <v>1</v>
      </c>
      <c r="H221" s="6" t="str">
        <f aca="false">IF(F221="Brand","Brand — already winning",IF(AND(E221&lt;=10,D221&lt;0.02,C221&gt;=200),"Ranks page 1 but no clicks → fix title/meta",IF(AND(E221&gt;10,E221&lt;=20,C221&gt;=200),"Page 2 → deepen content / add article",IF(E221&gt;20,"Weak — needs dedicated page","OK"))))</f>
        <v>OK</v>
      </c>
    </row>
    <row r="222" customFormat="false" ht="15" hidden="false" customHeight="false" outlineLevel="0" collapsed="false">
      <c r="A222" s="6" t="s">
        <v>279</v>
      </c>
      <c r="B222" s="6" t="n">
        <v>1</v>
      </c>
      <c r="C222" s="6" t="n">
        <v>6</v>
      </c>
      <c r="D222" s="7" t="n">
        <v>0.1667</v>
      </c>
      <c r="E222" s="8" t="n">
        <v>5</v>
      </c>
      <c r="F222" s="6" t="s">
        <v>78</v>
      </c>
      <c r="G222" s="6" t="n">
        <f aca="false">IF(AND(E222&gt;=3,E222&lt;=20),ROUND(C222*(1-D222)*(1/E222),0),0)</f>
        <v>1</v>
      </c>
      <c r="H222" s="6" t="str">
        <f aca="false">IF(F222="Brand","Brand — already winning",IF(AND(E222&lt;=10,D222&lt;0.02,C222&gt;=200),"Ranks page 1 but no clicks → fix title/meta",IF(AND(E222&gt;10,E222&lt;=20,C222&gt;=200),"Page 2 → deepen content / add article",IF(E222&gt;20,"Weak — needs dedicated page","OK"))))</f>
        <v>OK</v>
      </c>
    </row>
    <row r="223" customFormat="false" ht="15" hidden="false" customHeight="false" outlineLevel="0" collapsed="false">
      <c r="A223" s="6" t="s">
        <v>280</v>
      </c>
      <c r="B223" s="6" t="n">
        <v>1</v>
      </c>
      <c r="C223" s="6" t="n">
        <v>6</v>
      </c>
      <c r="D223" s="7" t="n">
        <v>0.1667</v>
      </c>
      <c r="E223" s="8" t="n">
        <v>8</v>
      </c>
      <c r="F223" s="6" t="s">
        <v>54</v>
      </c>
      <c r="G223" s="6" t="n">
        <f aca="false">IF(AND(E223&gt;=3,E223&lt;=20),ROUND(C223*(1-D223)*(1/E223),0),0)</f>
        <v>1</v>
      </c>
      <c r="H223" s="6" t="str">
        <f aca="false">IF(F223="Brand","Brand — already winning",IF(AND(E223&lt;=10,D223&lt;0.02,C223&gt;=200),"Ranks page 1 but no clicks → fix title/meta",IF(AND(E223&gt;10,E223&lt;=20,C223&gt;=200),"Page 2 → deepen content / add article",IF(E223&gt;20,"Weak — needs dedicated page","OK"))))</f>
        <v>OK</v>
      </c>
    </row>
    <row r="224" customFormat="false" ht="15" hidden="false" customHeight="false" outlineLevel="0" collapsed="false">
      <c r="A224" s="6" t="s">
        <v>281</v>
      </c>
      <c r="B224" s="6" t="n">
        <v>1</v>
      </c>
      <c r="C224" s="6" t="n">
        <v>6</v>
      </c>
      <c r="D224" s="7" t="n">
        <v>0.1667</v>
      </c>
      <c r="E224" s="8" t="n">
        <v>8.83</v>
      </c>
      <c r="F224" s="6" t="s">
        <v>48</v>
      </c>
      <c r="G224" s="6" t="n">
        <f aca="false">IF(AND(E224&gt;=3,E224&lt;=20),ROUND(C224*(1-D224)*(1/E224),0),0)</f>
        <v>1</v>
      </c>
      <c r="H224" s="6" t="str">
        <f aca="false">IF(F224="Brand","Brand — already winning",IF(AND(E224&lt;=10,D224&lt;0.02,C224&gt;=200),"Ranks page 1 but no clicks → fix title/meta",IF(AND(E224&gt;10,E224&lt;=20,C224&gt;=200),"Page 2 → deepen content / add article",IF(E224&gt;20,"Weak — needs dedicated page","OK"))))</f>
        <v>OK</v>
      </c>
    </row>
    <row r="225" customFormat="false" ht="15" hidden="false" customHeight="false" outlineLevel="0" collapsed="false">
      <c r="A225" s="6" t="s">
        <v>282</v>
      </c>
      <c r="B225" s="6" t="n">
        <v>1</v>
      </c>
      <c r="C225" s="6" t="n">
        <v>5</v>
      </c>
      <c r="D225" s="7" t="n">
        <v>0.2</v>
      </c>
      <c r="E225" s="8" t="n">
        <v>1.4</v>
      </c>
      <c r="F225" s="6" t="s">
        <v>99</v>
      </c>
      <c r="G225" s="6" t="n">
        <f aca="false">IF(AND(E225&gt;=3,E225&lt;=20),ROUND(C225*(1-D225)*(1/E225),0),0)</f>
        <v>0</v>
      </c>
      <c r="H225" s="6" t="str">
        <f aca="false">IF(F225="Brand","Brand — already winning",IF(AND(E225&lt;=10,D225&lt;0.02,C225&gt;=200),"Ranks page 1 but no clicks → fix title/meta",IF(AND(E225&gt;10,E225&lt;=20,C225&gt;=200),"Page 2 → deepen content / add article",IF(E225&gt;20,"Weak — needs dedicated page","OK"))))</f>
        <v>OK</v>
      </c>
    </row>
    <row r="226" customFormat="false" ht="15" hidden="false" customHeight="false" outlineLevel="0" collapsed="false">
      <c r="A226" s="6" t="s">
        <v>283</v>
      </c>
      <c r="B226" s="6" t="n">
        <v>1</v>
      </c>
      <c r="C226" s="6" t="n">
        <v>5</v>
      </c>
      <c r="D226" s="7" t="n">
        <v>0.2</v>
      </c>
      <c r="E226" s="8" t="n">
        <v>1.8</v>
      </c>
      <c r="F226" s="6" t="s">
        <v>78</v>
      </c>
      <c r="G226" s="6" t="n">
        <f aca="false">IF(AND(E226&gt;=3,E226&lt;=20),ROUND(C226*(1-D226)*(1/E226),0),0)</f>
        <v>0</v>
      </c>
      <c r="H226" s="6" t="str">
        <f aca="false">IF(F226="Brand","Brand — already winning",IF(AND(E226&lt;=10,D226&lt;0.02,C226&gt;=200),"Ranks page 1 but no clicks → fix title/meta",IF(AND(E226&gt;10,E226&lt;=20,C226&gt;=200),"Page 2 → deepen content / add article",IF(E226&gt;20,"Weak — needs dedicated page","OK"))))</f>
        <v>OK</v>
      </c>
    </row>
    <row r="227" customFormat="false" ht="15" hidden="false" customHeight="false" outlineLevel="0" collapsed="false">
      <c r="A227" s="6" t="s">
        <v>284</v>
      </c>
      <c r="B227" s="6" t="n">
        <v>1</v>
      </c>
      <c r="C227" s="6" t="n">
        <v>5</v>
      </c>
      <c r="D227" s="7" t="n">
        <v>0.2</v>
      </c>
      <c r="E227" s="8" t="n">
        <v>3.4</v>
      </c>
      <c r="F227" s="6" t="s">
        <v>58</v>
      </c>
      <c r="G227" s="6" t="n">
        <f aca="false">IF(AND(E227&gt;=3,E227&lt;=20),ROUND(C227*(1-D227)*(1/E227),0),0)</f>
        <v>1</v>
      </c>
      <c r="H227" s="6" t="str">
        <f aca="false">IF(F227="Brand","Brand — already winning",IF(AND(E227&lt;=10,D227&lt;0.02,C227&gt;=200),"Ranks page 1 but no clicks → fix title/meta",IF(AND(E227&gt;10,E227&lt;=20,C227&gt;=200),"Page 2 → deepen content / add article",IF(E227&gt;20,"Weak — needs dedicated page","OK"))))</f>
        <v>OK</v>
      </c>
    </row>
    <row r="228" customFormat="false" ht="15" hidden="false" customHeight="false" outlineLevel="0" collapsed="false">
      <c r="A228" s="6" t="s">
        <v>285</v>
      </c>
      <c r="B228" s="6" t="n">
        <v>1</v>
      </c>
      <c r="C228" s="6" t="n">
        <v>5</v>
      </c>
      <c r="D228" s="7" t="n">
        <v>0.2</v>
      </c>
      <c r="E228" s="8" t="n">
        <v>5</v>
      </c>
      <c r="F228" s="6" t="s">
        <v>63</v>
      </c>
      <c r="G228" s="6" t="n">
        <f aca="false">IF(AND(E228&gt;=3,E228&lt;=20),ROUND(C228*(1-D228)*(1/E228),0),0)</f>
        <v>1</v>
      </c>
      <c r="H228" s="6" t="str">
        <f aca="false">IF(F228="Brand","Brand — already winning",IF(AND(E228&lt;=10,D228&lt;0.02,C228&gt;=200),"Ranks page 1 but no clicks → fix title/meta",IF(AND(E228&gt;10,E228&lt;=20,C228&gt;=200),"Page 2 → deepen content / add article",IF(E228&gt;20,"Weak — needs dedicated page","OK"))))</f>
        <v>OK</v>
      </c>
    </row>
    <row r="229" customFormat="false" ht="15" hidden="false" customHeight="false" outlineLevel="0" collapsed="false">
      <c r="A229" s="6" t="s">
        <v>286</v>
      </c>
      <c r="B229" s="6" t="n">
        <v>1</v>
      </c>
      <c r="C229" s="6" t="n">
        <v>5</v>
      </c>
      <c r="D229" s="7" t="n">
        <v>0.2</v>
      </c>
      <c r="E229" s="8" t="n">
        <v>6</v>
      </c>
      <c r="F229" s="6" t="s">
        <v>63</v>
      </c>
      <c r="G229" s="6" t="n">
        <f aca="false">IF(AND(E229&gt;=3,E229&lt;=20),ROUND(C229*(1-D229)*(1/E229),0),0)</f>
        <v>1</v>
      </c>
      <c r="H229" s="6" t="str">
        <f aca="false">IF(F229="Brand","Brand — already winning",IF(AND(E229&lt;=10,D229&lt;0.02,C229&gt;=200),"Ranks page 1 but no clicks → fix title/meta",IF(AND(E229&gt;10,E229&lt;=20,C229&gt;=200),"Page 2 → deepen content / add article",IF(E229&gt;20,"Weak — needs dedicated page","OK"))))</f>
        <v>OK</v>
      </c>
    </row>
    <row r="230" customFormat="false" ht="15" hidden="false" customHeight="false" outlineLevel="0" collapsed="false">
      <c r="A230" s="6" t="s">
        <v>287</v>
      </c>
      <c r="B230" s="6" t="n">
        <v>1</v>
      </c>
      <c r="C230" s="6" t="n">
        <v>5</v>
      </c>
      <c r="D230" s="7" t="n">
        <v>0.2</v>
      </c>
      <c r="E230" s="8" t="n">
        <v>9.6</v>
      </c>
      <c r="F230" s="6" t="s">
        <v>54</v>
      </c>
      <c r="G230" s="6" t="n">
        <f aca="false">IF(AND(E230&gt;=3,E230&lt;=20),ROUND(C230*(1-D230)*(1/E230),0),0)</f>
        <v>0</v>
      </c>
      <c r="H230" s="6" t="str">
        <f aca="false">IF(F230="Brand","Brand — already winning",IF(AND(E230&lt;=10,D230&lt;0.02,C230&gt;=200),"Ranks page 1 but no clicks → fix title/meta",IF(AND(E230&gt;10,E230&lt;=20,C230&gt;=200),"Page 2 → deepen content / add article",IF(E230&gt;20,"Weak — needs dedicated page","OK"))))</f>
        <v>OK</v>
      </c>
    </row>
    <row r="231" customFormat="false" ht="15" hidden="false" customHeight="false" outlineLevel="0" collapsed="false">
      <c r="A231" s="6" t="s">
        <v>288</v>
      </c>
      <c r="B231" s="6" t="n">
        <v>1</v>
      </c>
      <c r="C231" s="6" t="n">
        <v>5</v>
      </c>
      <c r="D231" s="7" t="n">
        <v>0.2</v>
      </c>
      <c r="E231" s="8" t="n">
        <v>13.6</v>
      </c>
      <c r="F231" s="6" t="s">
        <v>43</v>
      </c>
      <c r="G231" s="6" t="n">
        <f aca="false">IF(AND(E231&gt;=3,E231&lt;=20),ROUND(C231*(1-D231)*(1/E231),0),0)</f>
        <v>0</v>
      </c>
      <c r="H231" s="6" t="str">
        <f aca="false">IF(F231="Brand","Brand — already winning",IF(AND(E231&lt;=10,D231&lt;0.02,C231&gt;=200),"Ranks page 1 but no clicks → fix title/meta",IF(AND(E231&gt;10,E231&lt;=20,C231&gt;=200),"Page 2 → deepen content / add article",IF(E231&gt;20,"Weak — needs dedicated page","OK"))))</f>
        <v>Brand — already winning</v>
      </c>
    </row>
    <row r="232" customFormat="false" ht="15" hidden="false" customHeight="false" outlineLevel="0" collapsed="false">
      <c r="A232" s="6" t="s">
        <v>289</v>
      </c>
      <c r="B232" s="6" t="n">
        <v>1</v>
      </c>
      <c r="C232" s="6" t="n">
        <v>5</v>
      </c>
      <c r="D232" s="7" t="n">
        <v>0.2</v>
      </c>
      <c r="E232" s="8" t="n">
        <v>16.4</v>
      </c>
      <c r="F232" s="6" t="s">
        <v>78</v>
      </c>
      <c r="G232" s="6" t="n">
        <f aca="false">IF(AND(E232&gt;=3,E232&lt;=20),ROUND(C232*(1-D232)*(1/E232),0),0)</f>
        <v>0</v>
      </c>
      <c r="H232" s="6" t="str">
        <f aca="false">IF(F232="Brand","Brand — already winning",IF(AND(E232&lt;=10,D232&lt;0.02,C232&gt;=200),"Ranks page 1 but no clicks → fix title/meta",IF(AND(E232&gt;10,E232&lt;=20,C232&gt;=200),"Page 2 → deepen content / add article",IF(E232&gt;20,"Weak — needs dedicated page","OK"))))</f>
        <v>OK</v>
      </c>
    </row>
    <row r="233" customFormat="false" ht="15" hidden="false" customHeight="false" outlineLevel="0" collapsed="false">
      <c r="A233" s="6" t="s">
        <v>290</v>
      </c>
      <c r="B233" s="6" t="n">
        <v>1</v>
      </c>
      <c r="C233" s="6" t="n">
        <v>5</v>
      </c>
      <c r="D233" s="7" t="n">
        <v>0.2</v>
      </c>
      <c r="E233" s="8" t="n">
        <v>21</v>
      </c>
      <c r="F233" s="6" t="s">
        <v>54</v>
      </c>
      <c r="G233" s="6" t="n">
        <f aca="false">IF(AND(E233&gt;=3,E233&lt;=20),ROUND(C233*(1-D233)*(1/E233),0),0)</f>
        <v>0</v>
      </c>
      <c r="H233" s="6" t="str">
        <f aca="false">IF(F233="Brand","Brand — already winning",IF(AND(E233&lt;=10,D233&lt;0.02,C233&gt;=200),"Ranks page 1 but no clicks → fix title/meta",IF(AND(E233&gt;10,E233&lt;=20,C233&gt;=200),"Page 2 → deepen content / add article",IF(E233&gt;20,"Weak — needs dedicated page","OK"))))</f>
        <v>Weak — needs dedicated page</v>
      </c>
    </row>
    <row r="234" customFormat="false" ht="15" hidden="false" customHeight="false" outlineLevel="0" collapsed="false">
      <c r="A234" s="6" t="s">
        <v>291</v>
      </c>
      <c r="B234" s="6" t="n">
        <v>1</v>
      </c>
      <c r="C234" s="6" t="n">
        <v>4</v>
      </c>
      <c r="D234" s="7" t="n">
        <v>0.25</v>
      </c>
      <c r="E234" s="8" t="n">
        <v>1.75</v>
      </c>
      <c r="F234" s="6" t="s">
        <v>65</v>
      </c>
      <c r="G234" s="6" t="n">
        <f aca="false">IF(AND(E234&gt;=3,E234&lt;=20),ROUND(C234*(1-D234)*(1/E234),0),0)</f>
        <v>0</v>
      </c>
      <c r="H234" s="6" t="str">
        <f aca="false">IF(F234="Brand","Brand — already winning",IF(AND(E234&lt;=10,D234&lt;0.02,C234&gt;=200),"Ranks page 1 but no clicks → fix title/meta",IF(AND(E234&gt;10,E234&lt;=20,C234&gt;=200),"Page 2 → deepen content / add article",IF(E234&gt;20,"Weak — needs dedicated page","OK"))))</f>
        <v>OK</v>
      </c>
    </row>
    <row r="235" customFormat="false" ht="15" hidden="false" customHeight="false" outlineLevel="0" collapsed="false">
      <c r="A235" s="6" t="s">
        <v>292</v>
      </c>
      <c r="B235" s="6" t="n">
        <v>1</v>
      </c>
      <c r="C235" s="6" t="n">
        <v>4</v>
      </c>
      <c r="D235" s="7" t="n">
        <v>0.25</v>
      </c>
      <c r="E235" s="8" t="n">
        <v>2.25</v>
      </c>
      <c r="F235" s="6" t="s">
        <v>65</v>
      </c>
      <c r="G235" s="6" t="n">
        <f aca="false">IF(AND(E235&gt;=3,E235&lt;=20),ROUND(C235*(1-D235)*(1/E235),0),0)</f>
        <v>0</v>
      </c>
      <c r="H235" s="6" t="str">
        <f aca="false">IF(F235="Brand","Brand — already winning",IF(AND(E235&lt;=10,D235&lt;0.02,C235&gt;=200),"Ranks page 1 but no clicks → fix title/meta",IF(AND(E235&gt;10,E235&lt;=20,C235&gt;=200),"Page 2 → deepen content / add article",IF(E235&gt;20,"Weak — needs dedicated page","OK"))))</f>
        <v>OK</v>
      </c>
    </row>
    <row r="236" customFormat="false" ht="15" hidden="false" customHeight="false" outlineLevel="0" collapsed="false">
      <c r="A236" s="6" t="s">
        <v>293</v>
      </c>
      <c r="B236" s="6" t="n">
        <v>1</v>
      </c>
      <c r="C236" s="6" t="n">
        <v>4</v>
      </c>
      <c r="D236" s="7" t="n">
        <v>0.25</v>
      </c>
      <c r="E236" s="8" t="n">
        <v>2.25</v>
      </c>
      <c r="F236" s="6" t="s">
        <v>65</v>
      </c>
      <c r="G236" s="6" t="n">
        <f aca="false">IF(AND(E236&gt;=3,E236&lt;=20),ROUND(C236*(1-D236)*(1/E236),0),0)</f>
        <v>0</v>
      </c>
      <c r="H236" s="6" t="str">
        <f aca="false">IF(F236="Brand","Brand — already winning",IF(AND(E236&lt;=10,D236&lt;0.02,C236&gt;=200),"Ranks page 1 but no clicks → fix title/meta",IF(AND(E236&gt;10,E236&lt;=20,C236&gt;=200),"Page 2 → deepen content / add article",IF(E236&gt;20,"Weak — needs dedicated page","OK"))))</f>
        <v>OK</v>
      </c>
    </row>
    <row r="237" customFormat="false" ht="15" hidden="false" customHeight="false" outlineLevel="0" collapsed="false">
      <c r="A237" s="6" t="s">
        <v>294</v>
      </c>
      <c r="B237" s="6" t="n">
        <v>1</v>
      </c>
      <c r="C237" s="6" t="n">
        <v>4</v>
      </c>
      <c r="D237" s="7" t="n">
        <v>0.25</v>
      </c>
      <c r="E237" s="8" t="n">
        <v>4</v>
      </c>
      <c r="F237" s="6" t="s">
        <v>99</v>
      </c>
      <c r="G237" s="6" t="n">
        <f aca="false">IF(AND(E237&gt;=3,E237&lt;=20),ROUND(C237*(1-D237)*(1/E237),0),0)</f>
        <v>1</v>
      </c>
      <c r="H237" s="6" t="str">
        <f aca="false">IF(F237="Brand","Brand — already winning",IF(AND(E237&lt;=10,D237&lt;0.02,C237&gt;=200),"Ranks page 1 but no clicks → fix title/meta",IF(AND(E237&gt;10,E237&lt;=20,C237&gt;=200),"Page 2 → deepen content / add article",IF(E237&gt;20,"Weak — needs dedicated page","OK"))))</f>
        <v>OK</v>
      </c>
    </row>
    <row r="238" customFormat="false" ht="15" hidden="false" customHeight="false" outlineLevel="0" collapsed="false">
      <c r="A238" s="6" t="s">
        <v>295</v>
      </c>
      <c r="B238" s="6" t="n">
        <v>1</v>
      </c>
      <c r="C238" s="6" t="n">
        <v>4</v>
      </c>
      <c r="D238" s="7" t="n">
        <v>0.25</v>
      </c>
      <c r="E238" s="8" t="n">
        <v>4.5</v>
      </c>
      <c r="F238" s="6" t="s">
        <v>65</v>
      </c>
      <c r="G238" s="6" t="n">
        <f aca="false">IF(AND(E238&gt;=3,E238&lt;=20),ROUND(C238*(1-D238)*(1/E238),0),0)</f>
        <v>1</v>
      </c>
      <c r="H238" s="6" t="str">
        <f aca="false">IF(F238="Brand","Brand — already winning",IF(AND(E238&lt;=10,D238&lt;0.02,C238&gt;=200),"Ranks page 1 but no clicks → fix title/meta",IF(AND(E238&gt;10,E238&lt;=20,C238&gt;=200),"Page 2 → deepen content / add article",IF(E238&gt;20,"Weak — needs dedicated page","OK"))))</f>
        <v>OK</v>
      </c>
    </row>
    <row r="239" customFormat="false" ht="15" hidden="false" customHeight="false" outlineLevel="0" collapsed="false">
      <c r="A239" s="6" t="s">
        <v>296</v>
      </c>
      <c r="B239" s="6" t="n">
        <v>1</v>
      </c>
      <c r="C239" s="6" t="n">
        <v>4</v>
      </c>
      <c r="D239" s="7" t="n">
        <v>0.25</v>
      </c>
      <c r="E239" s="8" t="n">
        <v>5</v>
      </c>
      <c r="F239" s="6" t="s">
        <v>54</v>
      </c>
      <c r="G239" s="6" t="n">
        <f aca="false">IF(AND(E239&gt;=3,E239&lt;=20),ROUND(C239*(1-D239)*(1/E239),0),0)</f>
        <v>1</v>
      </c>
      <c r="H239" s="6" t="str">
        <f aca="false">IF(F239="Brand","Brand — already winning",IF(AND(E239&lt;=10,D239&lt;0.02,C239&gt;=200),"Ranks page 1 but no clicks → fix title/meta",IF(AND(E239&gt;10,E239&lt;=20,C239&gt;=200),"Page 2 → deepen content / add article",IF(E239&gt;20,"Weak — needs dedicated page","OK"))))</f>
        <v>OK</v>
      </c>
    </row>
    <row r="240" customFormat="false" ht="15" hidden="false" customHeight="false" outlineLevel="0" collapsed="false">
      <c r="A240" s="6" t="s">
        <v>297</v>
      </c>
      <c r="B240" s="6" t="n">
        <v>1</v>
      </c>
      <c r="C240" s="6" t="n">
        <v>4</v>
      </c>
      <c r="D240" s="7" t="n">
        <v>0.25</v>
      </c>
      <c r="E240" s="8" t="n">
        <v>5.25</v>
      </c>
      <c r="F240" s="6" t="s">
        <v>43</v>
      </c>
      <c r="G240" s="6" t="n">
        <f aca="false">IF(AND(E240&gt;=3,E240&lt;=20),ROUND(C240*(1-D240)*(1/E240),0),0)</f>
        <v>1</v>
      </c>
      <c r="H240" s="6" t="str">
        <f aca="false">IF(F240="Brand","Brand — already winning",IF(AND(E240&lt;=10,D240&lt;0.02,C240&gt;=200),"Ranks page 1 but no clicks → fix title/meta",IF(AND(E240&gt;10,E240&lt;=20,C240&gt;=200),"Page 2 → deepen content / add article",IF(E240&gt;20,"Weak — needs dedicated page","OK"))))</f>
        <v>Brand — already winning</v>
      </c>
    </row>
    <row r="241" customFormat="false" ht="15" hidden="false" customHeight="false" outlineLevel="0" collapsed="false">
      <c r="A241" s="6" t="s">
        <v>298</v>
      </c>
      <c r="B241" s="6" t="n">
        <v>1</v>
      </c>
      <c r="C241" s="6" t="n">
        <v>4</v>
      </c>
      <c r="D241" s="7" t="n">
        <v>0.25</v>
      </c>
      <c r="E241" s="8" t="n">
        <v>5.5</v>
      </c>
      <c r="F241" s="6" t="s">
        <v>78</v>
      </c>
      <c r="G241" s="6" t="n">
        <f aca="false">IF(AND(E241&gt;=3,E241&lt;=20),ROUND(C241*(1-D241)*(1/E241),0),0)</f>
        <v>1</v>
      </c>
      <c r="H241" s="6" t="str">
        <f aca="false">IF(F241="Brand","Brand — already winning",IF(AND(E241&lt;=10,D241&lt;0.02,C241&gt;=200),"Ranks page 1 but no clicks → fix title/meta",IF(AND(E241&gt;10,E241&lt;=20,C241&gt;=200),"Page 2 → deepen content / add article",IF(E241&gt;20,"Weak — needs dedicated page","OK"))))</f>
        <v>OK</v>
      </c>
    </row>
    <row r="242" customFormat="false" ht="15" hidden="false" customHeight="false" outlineLevel="0" collapsed="false">
      <c r="A242" s="6" t="s">
        <v>299</v>
      </c>
      <c r="B242" s="6" t="n">
        <v>1</v>
      </c>
      <c r="C242" s="6" t="n">
        <v>4</v>
      </c>
      <c r="D242" s="7" t="n">
        <v>0.25</v>
      </c>
      <c r="E242" s="8" t="n">
        <v>5.5</v>
      </c>
      <c r="F242" s="6" t="s">
        <v>78</v>
      </c>
      <c r="G242" s="6" t="n">
        <f aca="false">IF(AND(E242&gt;=3,E242&lt;=20),ROUND(C242*(1-D242)*(1/E242),0),0)</f>
        <v>1</v>
      </c>
      <c r="H242" s="6" t="str">
        <f aca="false">IF(F242="Brand","Brand — already winning",IF(AND(E242&lt;=10,D242&lt;0.02,C242&gt;=200),"Ranks page 1 but no clicks → fix title/meta",IF(AND(E242&gt;10,E242&lt;=20,C242&gt;=200),"Page 2 → deepen content / add article",IF(E242&gt;20,"Weak — needs dedicated page","OK"))))</f>
        <v>OK</v>
      </c>
    </row>
    <row r="243" customFormat="false" ht="15" hidden="false" customHeight="false" outlineLevel="0" collapsed="false">
      <c r="A243" s="6" t="s">
        <v>300</v>
      </c>
      <c r="B243" s="6" t="n">
        <v>1</v>
      </c>
      <c r="C243" s="6" t="n">
        <v>4</v>
      </c>
      <c r="D243" s="7" t="n">
        <v>0.25</v>
      </c>
      <c r="E243" s="8" t="n">
        <v>6.5</v>
      </c>
      <c r="F243" s="6" t="s">
        <v>78</v>
      </c>
      <c r="G243" s="6" t="n">
        <f aca="false">IF(AND(E243&gt;=3,E243&lt;=20),ROUND(C243*(1-D243)*(1/E243),0),0)</f>
        <v>0</v>
      </c>
      <c r="H243" s="6" t="str">
        <f aca="false">IF(F243="Brand","Brand — already winning",IF(AND(E243&lt;=10,D243&lt;0.02,C243&gt;=200),"Ranks page 1 but no clicks → fix title/meta",IF(AND(E243&gt;10,E243&lt;=20,C243&gt;=200),"Page 2 → deepen content / add article",IF(E243&gt;20,"Weak — needs dedicated page","OK"))))</f>
        <v>OK</v>
      </c>
    </row>
    <row r="244" customFormat="false" ht="15" hidden="false" customHeight="false" outlineLevel="0" collapsed="false">
      <c r="A244" s="6" t="s">
        <v>301</v>
      </c>
      <c r="B244" s="6" t="n">
        <v>1</v>
      </c>
      <c r="C244" s="6" t="n">
        <v>4</v>
      </c>
      <c r="D244" s="7" t="n">
        <v>0.25</v>
      </c>
      <c r="E244" s="8" t="n">
        <v>7</v>
      </c>
      <c r="F244" s="6" t="s">
        <v>78</v>
      </c>
      <c r="G244" s="6" t="n">
        <f aca="false">IF(AND(E244&gt;=3,E244&lt;=20),ROUND(C244*(1-D244)*(1/E244),0),0)</f>
        <v>0</v>
      </c>
      <c r="H244" s="6" t="str">
        <f aca="false">IF(F244="Brand","Brand — already winning",IF(AND(E244&lt;=10,D244&lt;0.02,C244&gt;=200),"Ranks page 1 but no clicks → fix title/meta",IF(AND(E244&gt;10,E244&lt;=20,C244&gt;=200),"Page 2 → deepen content / add article",IF(E244&gt;20,"Weak — needs dedicated page","OK"))))</f>
        <v>OK</v>
      </c>
    </row>
    <row r="245" customFormat="false" ht="15" hidden="false" customHeight="false" outlineLevel="0" collapsed="false">
      <c r="A245" s="6" t="s">
        <v>302</v>
      </c>
      <c r="B245" s="6" t="n">
        <v>1</v>
      </c>
      <c r="C245" s="6" t="n">
        <v>4</v>
      </c>
      <c r="D245" s="7" t="n">
        <v>0.25</v>
      </c>
      <c r="E245" s="8" t="n">
        <v>8.25</v>
      </c>
      <c r="F245" s="6" t="s">
        <v>63</v>
      </c>
      <c r="G245" s="6" t="n">
        <f aca="false">IF(AND(E245&gt;=3,E245&lt;=20),ROUND(C245*(1-D245)*(1/E245),0),0)</f>
        <v>0</v>
      </c>
      <c r="H245" s="6" t="str">
        <f aca="false">IF(F245="Brand","Brand — already winning",IF(AND(E245&lt;=10,D245&lt;0.02,C245&gt;=200),"Ranks page 1 but no clicks → fix title/meta",IF(AND(E245&gt;10,E245&lt;=20,C245&gt;=200),"Page 2 → deepen content / add article",IF(E245&gt;20,"Weak — needs dedicated page","OK"))))</f>
        <v>OK</v>
      </c>
    </row>
    <row r="246" customFormat="false" ht="15" hidden="false" customHeight="false" outlineLevel="0" collapsed="false">
      <c r="A246" s="6" t="s">
        <v>303</v>
      </c>
      <c r="B246" s="6" t="n">
        <v>1</v>
      </c>
      <c r="C246" s="6" t="n">
        <v>4</v>
      </c>
      <c r="D246" s="7" t="n">
        <v>0.25</v>
      </c>
      <c r="E246" s="8" t="n">
        <v>9.75</v>
      </c>
      <c r="F246" s="6" t="s">
        <v>78</v>
      </c>
      <c r="G246" s="6" t="n">
        <f aca="false">IF(AND(E246&gt;=3,E246&lt;=20),ROUND(C246*(1-D246)*(1/E246),0),0)</f>
        <v>0</v>
      </c>
      <c r="H246" s="6" t="str">
        <f aca="false">IF(F246="Brand","Brand — already winning",IF(AND(E246&lt;=10,D246&lt;0.02,C246&gt;=200),"Ranks page 1 but no clicks → fix title/meta",IF(AND(E246&gt;10,E246&lt;=20,C246&gt;=200),"Page 2 → deepen content / add article",IF(E246&gt;20,"Weak — needs dedicated page","OK"))))</f>
        <v>OK</v>
      </c>
    </row>
    <row r="247" customFormat="false" ht="15" hidden="false" customHeight="false" outlineLevel="0" collapsed="false">
      <c r="A247" s="6" t="s">
        <v>304</v>
      </c>
      <c r="B247" s="6" t="n">
        <v>1</v>
      </c>
      <c r="C247" s="6" t="n">
        <v>3</v>
      </c>
      <c r="D247" s="7" t="n">
        <v>0.3333</v>
      </c>
      <c r="E247" s="8" t="n">
        <v>1</v>
      </c>
      <c r="F247" s="6" t="s">
        <v>99</v>
      </c>
      <c r="G247" s="6" t="n">
        <f aca="false">IF(AND(E247&gt;=3,E247&lt;=20),ROUND(C247*(1-D247)*(1/E247),0),0)</f>
        <v>0</v>
      </c>
      <c r="H247" s="6" t="str">
        <f aca="false">IF(F247="Brand","Brand — already winning",IF(AND(E247&lt;=10,D247&lt;0.02,C247&gt;=200),"Ranks page 1 but no clicks → fix title/meta",IF(AND(E247&gt;10,E247&lt;=20,C247&gt;=200),"Page 2 → deepen content / add article",IF(E247&gt;20,"Weak — needs dedicated page","OK"))))</f>
        <v>OK</v>
      </c>
    </row>
    <row r="248" customFormat="false" ht="15" hidden="false" customHeight="false" outlineLevel="0" collapsed="false">
      <c r="A248" s="6" t="s">
        <v>305</v>
      </c>
      <c r="B248" s="6" t="n">
        <v>1</v>
      </c>
      <c r="C248" s="6" t="n">
        <v>3</v>
      </c>
      <c r="D248" s="7" t="n">
        <v>0.3333</v>
      </c>
      <c r="E248" s="8" t="n">
        <v>1.33</v>
      </c>
      <c r="F248" s="6" t="s">
        <v>78</v>
      </c>
      <c r="G248" s="6" t="n">
        <f aca="false">IF(AND(E248&gt;=3,E248&lt;=20),ROUND(C248*(1-D248)*(1/E248),0),0)</f>
        <v>0</v>
      </c>
      <c r="H248" s="6" t="str">
        <f aca="false">IF(F248="Brand","Brand — already winning",IF(AND(E248&lt;=10,D248&lt;0.02,C248&gt;=200),"Ranks page 1 but no clicks → fix title/meta",IF(AND(E248&gt;10,E248&lt;=20,C248&gt;=200),"Page 2 → deepen content / add article",IF(E248&gt;20,"Weak — needs dedicated page","OK"))))</f>
        <v>OK</v>
      </c>
    </row>
    <row r="249" customFormat="false" ht="15" hidden="false" customHeight="false" outlineLevel="0" collapsed="false">
      <c r="A249" s="6" t="s">
        <v>306</v>
      </c>
      <c r="B249" s="6" t="n">
        <v>1</v>
      </c>
      <c r="C249" s="6" t="n">
        <v>3</v>
      </c>
      <c r="D249" s="7" t="n">
        <v>0.3333</v>
      </c>
      <c r="E249" s="8" t="n">
        <v>1.67</v>
      </c>
      <c r="F249" s="6" t="s">
        <v>56</v>
      </c>
      <c r="G249" s="6" t="n">
        <f aca="false">IF(AND(E249&gt;=3,E249&lt;=20),ROUND(C249*(1-D249)*(1/E249),0),0)</f>
        <v>0</v>
      </c>
      <c r="H249" s="6" t="str">
        <f aca="false">IF(F249="Brand","Brand — already winning",IF(AND(E249&lt;=10,D249&lt;0.02,C249&gt;=200),"Ranks page 1 but no clicks → fix title/meta",IF(AND(E249&gt;10,E249&lt;=20,C249&gt;=200),"Page 2 → deepen content / add article",IF(E249&gt;20,"Weak — needs dedicated page","OK"))))</f>
        <v>OK</v>
      </c>
    </row>
    <row r="250" customFormat="false" ht="15" hidden="false" customHeight="false" outlineLevel="0" collapsed="false">
      <c r="A250" s="6" t="s">
        <v>307</v>
      </c>
      <c r="B250" s="6" t="n">
        <v>1</v>
      </c>
      <c r="C250" s="6" t="n">
        <v>3</v>
      </c>
      <c r="D250" s="7" t="n">
        <v>0.3333</v>
      </c>
      <c r="E250" s="8" t="n">
        <v>1.67</v>
      </c>
      <c r="F250" s="6" t="s">
        <v>48</v>
      </c>
      <c r="G250" s="6" t="n">
        <f aca="false">IF(AND(E250&gt;=3,E250&lt;=20),ROUND(C250*(1-D250)*(1/E250),0),0)</f>
        <v>0</v>
      </c>
      <c r="H250" s="6" t="str">
        <f aca="false">IF(F250="Brand","Brand — already winning",IF(AND(E250&lt;=10,D250&lt;0.02,C250&gt;=200),"Ranks page 1 but no clicks → fix title/meta",IF(AND(E250&gt;10,E250&lt;=20,C250&gt;=200),"Page 2 → deepen content / add article",IF(E250&gt;20,"Weak — needs dedicated page","OK"))))</f>
        <v>OK</v>
      </c>
    </row>
    <row r="251" customFormat="false" ht="15" hidden="false" customHeight="false" outlineLevel="0" collapsed="false">
      <c r="A251" s="6" t="s">
        <v>308</v>
      </c>
      <c r="B251" s="6" t="n">
        <v>1</v>
      </c>
      <c r="C251" s="6" t="n">
        <v>3</v>
      </c>
      <c r="D251" s="7" t="n">
        <v>0.3333</v>
      </c>
      <c r="E251" s="8" t="n">
        <v>1.67</v>
      </c>
      <c r="F251" s="6" t="s">
        <v>78</v>
      </c>
      <c r="G251" s="6" t="n">
        <f aca="false">IF(AND(E251&gt;=3,E251&lt;=20),ROUND(C251*(1-D251)*(1/E251),0),0)</f>
        <v>0</v>
      </c>
      <c r="H251" s="6" t="str">
        <f aca="false">IF(F251="Brand","Brand — already winning",IF(AND(E251&lt;=10,D251&lt;0.02,C251&gt;=200),"Ranks page 1 but no clicks → fix title/meta",IF(AND(E251&gt;10,E251&lt;=20,C251&gt;=200),"Page 2 → deepen content / add article",IF(E251&gt;20,"Weak — needs dedicated page","OK"))))</f>
        <v>OK</v>
      </c>
    </row>
    <row r="252" customFormat="false" ht="15" hidden="false" customHeight="false" outlineLevel="0" collapsed="false">
      <c r="A252" s="6" t="s">
        <v>309</v>
      </c>
      <c r="B252" s="6" t="n">
        <v>1</v>
      </c>
      <c r="C252" s="6" t="n">
        <v>3</v>
      </c>
      <c r="D252" s="7" t="n">
        <v>0.3333</v>
      </c>
      <c r="E252" s="8" t="n">
        <v>2</v>
      </c>
      <c r="F252" s="6" t="s">
        <v>78</v>
      </c>
      <c r="G252" s="6" t="n">
        <f aca="false">IF(AND(E252&gt;=3,E252&lt;=20),ROUND(C252*(1-D252)*(1/E252),0),0)</f>
        <v>0</v>
      </c>
      <c r="H252" s="6" t="str">
        <f aca="false">IF(F252="Brand","Brand — already winning",IF(AND(E252&lt;=10,D252&lt;0.02,C252&gt;=200),"Ranks page 1 but no clicks → fix title/meta",IF(AND(E252&gt;10,E252&lt;=20,C252&gt;=200),"Page 2 → deepen content / add article",IF(E252&gt;20,"Weak — needs dedicated page","OK"))))</f>
        <v>OK</v>
      </c>
    </row>
    <row r="253" customFormat="false" ht="15" hidden="false" customHeight="false" outlineLevel="0" collapsed="false">
      <c r="A253" s="6" t="s">
        <v>310</v>
      </c>
      <c r="B253" s="6" t="n">
        <v>1</v>
      </c>
      <c r="C253" s="6" t="n">
        <v>3</v>
      </c>
      <c r="D253" s="7" t="n">
        <v>0.3333</v>
      </c>
      <c r="E253" s="8" t="n">
        <v>2.33</v>
      </c>
      <c r="F253" s="6" t="s">
        <v>78</v>
      </c>
      <c r="G253" s="6" t="n">
        <f aca="false">IF(AND(E253&gt;=3,E253&lt;=20),ROUND(C253*(1-D253)*(1/E253),0),0)</f>
        <v>0</v>
      </c>
      <c r="H253" s="6" t="str">
        <f aca="false">IF(F253="Brand","Brand — already winning",IF(AND(E253&lt;=10,D253&lt;0.02,C253&gt;=200),"Ranks page 1 but no clicks → fix title/meta",IF(AND(E253&gt;10,E253&lt;=20,C253&gt;=200),"Page 2 → deepen content / add article",IF(E253&gt;20,"Weak — needs dedicated page","OK"))))</f>
        <v>OK</v>
      </c>
    </row>
    <row r="254" customFormat="false" ht="15" hidden="false" customHeight="false" outlineLevel="0" collapsed="false">
      <c r="A254" s="6" t="s">
        <v>311</v>
      </c>
      <c r="B254" s="6" t="n">
        <v>1</v>
      </c>
      <c r="C254" s="6" t="n">
        <v>3</v>
      </c>
      <c r="D254" s="7" t="n">
        <v>0.3333</v>
      </c>
      <c r="E254" s="8" t="n">
        <v>2.67</v>
      </c>
      <c r="F254" s="6" t="s">
        <v>63</v>
      </c>
      <c r="G254" s="6" t="n">
        <f aca="false">IF(AND(E254&gt;=3,E254&lt;=20),ROUND(C254*(1-D254)*(1/E254),0),0)</f>
        <v>0</v>
      </c>
      <c r="H254" s="6" t="str">
        <f aca="false">IF(F254="Brand","Brand — already winning",IF(AND(E254&lt;=10,D254&lt;0.02,C254&gt;=200),"Ranks page 1 but no clicks → fix title/meta",IF(AND(E254&gt;10,E254&lt;=20,C254&gt;=200),"Page 2 → deepen content / add article",IF(E254&gt;20,"Weak — needs dedicated page","OK"))))</f>
        <v>OK</v>
      </c>
    </row>
    <row r="255" customFormat="false" ht="15" hidden="false" customHeight="false" outlineLevel="0" collapsed="false">
      <c r="A255" s="6" t="s">
        <v>312</v>
      </c>
      <c r="B255" s="6" t="n">
        <v>1</v>
      </c>
      <c r="C255" s="6" t="n">
        <v>3</v>
      </c>
      <c r="D255" s="7" t="n">
        <v>0.3333</v>
      </c>
      <c r="E255" s="8" t="n">
        <v>4.67</v>
      </c>
      <c r="F255" s="6" t="s">
        <v>43</v>
      </c>
      <c r="G255" s="6" t="n">
        <f aca="false">IF(AND(E255&gt;=3,E255&lt;=20),ROUND(C255*(1-D255)*(1/E255),0),0)</f>
        <v>0</v>
      </c>
      <c r="H255" s="6" t="str">
        <f aca="false">IF(F255="Brand","Brand — already winning",IF(AND(E255&lt;=10,D255&lt;0.02,C255&gt;=200),"Ranks page 1 but no clicks → fix title/meta",IF(AND(E255&gt;10,E255&lt;=20,C255&gt;=200),"Page 2 → deepen content / add article",IF(E255&gt;20,"Weak — needs dedicated page","OK"))))</f>
        <v>Brand — already winning</v>
      </c>
    </row>
    <row r="256" customFormat="false" ht="15" hidden="false" customHeight="false" outlineLevel="0" collapsed="false">
      <c r="A256" s="6" t="s">
        <v>313</v>
      </c>
      <c r="B256" s="6" t="n">
        <v>1</v>
      </c>
      <c r="C256" s="6" t="n">
        <v>3</v>
      </c>
      <c r="D256" s="7" t="n">
        <v>0.3333</v>
      </c>
      <c r="E256" s="8" t="n">
        <v>5</v>
      </c>
      <c r="F256" s="6" t="s">
        <v>58</v>
      </c>
      <c r="G256" s="6" t="n">
        <f aca="false">IF(AND(E256&gt;=3,E256&lt;=20),ROUND(C256*(1-D256)*(1/E256),0),0)</f>
        <v>0</v>
      </c>
      <c r="H256" s="6" t="str">
        <f aca="false">IF(F256="Brand","Brand — already winning",IF(AND(E256&lt;=10,D256&lt;0.02,C256&gt;=200),"Ranks page 1 but no clicks → fix title/meta",IF(AND(E256&gt;10,E256&lt;=20,C256&gt;=200),"Page 2 → deepen content / add article",IF(E256&gt;20,"Weak — needs dedicated page","OK"))))</f>
        <v>OK</v>
      </c>
    </row>
    <row r="257" customFormat="false" ht="15" hidden="false" customHeight="false" outlineLevel="0" collapsed="false">
      <c r="A257" s="6" t="s">
        <v>314</v>
      </c>
      <c r="B257" s="6" t="n">
        <v>1</v>
      </c>
      <c r="C257" s="6" t="n">
        <v>3</v>
      </c>
      <c r="D257" s="7" t="n">
        <v>0.3333</v>
      </c>
      <c r="E257" s="8" t="n">
        <v>5</v>
      </c>
      <c r="F257" s="6" t="s">
        <v>54</v>
      </c>
      <c r="G257" s="6" t="n">
        <f aca="false">IF(AND(E257&gt;=3,E257&lt;=20),ROUND(C257*(1-D257)*(1/E257),0),0)</f>
        <v>0</v>
      </c>
      <c r="H257" s="6" t="str">
        <f aca="false">IF(F257="Brand","Brand — already winning",IF(AND(E257&lt;=10,D257&lt;0.02,C257&gt;=200),"Ranks page 1 but no clicks → fix title/meta",IF(AND(E257&gt;10,E257&lt;=20,C257&gt;=200),"Page 2 → deepen content / add article",IF(E257&gt;20,"Weak — needs dedicated page","OK"))))</f>
        <v>OK</v>
      </c>
    </row>
    <row r="258" customFormat="false" ht="15" hidden="false" customHeight="false" outlineLevel="0" collapsed="false">
      <c r="A258" s="6" t="s">
        <v>315</v>
      </c>
      <c r="B258" s="6" t="n">
        <v>1</v>
      </c>
      <c r="C258" s="6" t="n">
        <v>3</v>
      </c>
      <c r="D258" s="7" t="n">
        <v>0.3333</v>
      </c>
      <c r="E258" s="8" t="n">
        <v>5.33</v>
      </c>
      <c r="F258" s="6" t="s">
        <v>54</v>
      </c>
      <c r="G258" s="6" t="n">
        <f aca="false">IF(AND(E258&gt;=3,E258&lt;=20),ROUND(C258*(1-D258)*(1/E258),0),0)</f>
        <v>0</v>
      </c>
      <c r="H258" s="6" t="str">
        <f aca="false">IF(F258="Brand","Brand — already winning",IF(AND(E258&lt;=10,D258&lt;0.02,C258&gt;=200),"Ranks page 1 but no clicks → fix title/meta",IF(AND(E258&gt;10,E258&lt;=20,C258&gt;=200),"Page 2 → deepen content / add article",IF(E258&gt;20,"Weak — needs dedicated page","OK"))))</f>
        <v>OK</v>
      </c>
    </row>
    <row r="259" customFormat="false" ht="15" hidden="false" customHeight="false" outlineLevel="0" collapsed="false">
      <c r="A259" s="6" t="s">
        <v>316</v>
      </c>
      <c r="B259" s="6" t="n">
        <v>1</v>
      </c>
      <c r="C259" s="6" t="n">
        <v>3</v>
      </c>
      <c r="D259" s="7" t="n">
        <v>0.3333</v>
      </c>
      <c r="E259" s="8" t="n">
        <v>5.67</v>
      </c>
      <c r="F259" s="6" t="s">
        <v>78</v>
      </c>
      <c r="G259" s="6" t="n">
        <f aca="false">IF(AND(E259&gt;=3,E259&lt;=20),ROUND(C259*(1-D259)*(1/E259),0),0)</f>
        <v>0</v>
      </c>
      <c r="H259" s="6" t="str">
        <f aca="false">IF(F259="Brand","Brand — already winning",IF(AND(E259&lt;=10,D259&lt;0.02,C259&gt;=200),"Ranks page 1 but no clicks → fix title/meta",IF(AND(E259&gt;10,E259&lt;=20,C259&gt;=200),"Page 2 → deepen content / add article",IF(E259&gt;20,"Weak — needs dedicated page","OK"))))</f>
        <v>OK</v>
      </c>
    </row>
    <row r="260" customFormat="false" ht="15" hidden="false" customHeight="false" outlineLevel="0" collapsed="false">
      <c r="A260" s="6" t="s">
        <v>317</v>
      </c>
      <c r="B260" s="6" t="n">
        <v>1</v>
      </c>
      <c r="C260" s="6" t="n">
        <v>3</v>
      </c>
      <c r="D260" s="7" t="n">
        <v>0.3333</v>
      </c>
      <c r="E260" s="8" t="n">
        <v>6</v>
      </c>
      <c r="F260" s="6" t="s">
        <v>58</v>
      </c>
      <c r="G260" s="6" t="n">
        <f aca="false">IF(AND(E260&gt;=3,E260&lt;=20),ROUND(C260*(1-D260)*(1/E260),0),0)</f>
        <v>0</v>
      </c>
      <c r="H260" s="6" t="str">
        <f aca="false">IF(F260="Brand","Brand — already winning",IF(AND(E260&lt;=10,D260&lt;0.02,C260&gt;=200),"Ranks page 1 but no clicks → fix title/meta",IF(AND(E260&gt;10,E260&lt;=20,C260&gt;=200),"Page 2 → deepen content / add article",IF(E260&gt;20,"Weak — needs dedicated page","OK"))))</f>
        <v>OK</v>
      </c>
    </row>
    <row r="261" customFormat="false" ht="15" hidden="false" customHeight="false" outlineLevel="0" collapsed="false">
      <c r="A261" s="6" t="s">
        <v>318</v>
      </c>
      <c r="B261" s="6" t="n">
        <v>1</v>
      </c>
      <c r="C261" s="6" t="n">
        <v>3</v>
      </c>
      <c r="D261" s="7" t="n">
        <v>0.3333</v>
      </c>
      <c r="E261" s="8" t="n">
        <v>6.33</v>
      </c>
      <c r="F261" s="6" t="s">
        <v>68</v>
      </c>
      <c r="G261" s="6" t="n">
        <f aca="false">IF(AND(E261&gt;=3,E261&lt;=20),ROUND(C261*(1-D261)*(1/E261),0),0)</f>
        <v>0</v>
      </c>
      <c r="H261" s="6" t="str">
        <f aca="false">IF(F261="Brand","Brand — already winning",IF(AND(E261&lt;=10,D261&lt;0.02,C261&gt;=200),"Ranks page 1 but no clicks → fix title/meta",IF(AND(E261&gt;10,E261&lt;=20,C261&gt;=200),"Page 2 → deepen content / add article",IF(E261&gt;20,"Weak — needs dedicated page","OK"))))</f>
        <v>OK</v>
      </c>
    </row>
    <row r="262" customFormat="false" ht="15" hidden="false" customHeight="false" outlineLevel="0" collapsed="false">
      <c r="A262" s="6" t="s">
        <v>319</v>
      </c>
      <c r="B262" s="6" t="n">
        <v>1</v>
      </c>
      <c r="C262" s="6" t="n">
        <v>3</v>
      </c>
      <c r="D262" s="7" t="n">
        <v>0.3333</v>
      </c>
      <c r="E262" s="8" t="n">
        <v>7.33</v>
      </c>
      <c r="F262" s="6" t="s">
        <v>78</v>
      </c>
      <c r="G262" s="6" t="n">
        <f aca="false">IF(AND(E262&gt;=3,E262&lt;=20),ROUND(C262*(1-D262)*(1/E262),0),0)</f>
        <v>0</v>
      </c>
      <c r="H262" s="6" t="str">
        <f aca="false">IF(F262="Brand","Brand — already winning",IF(AND(E262&lt;=10,D262&lt;0.02,C262&gt;=200),"Ranks page 1 but no clicks → fix title/meta",IF(AND(E262&gt;10,E262&lt;=20,C262&gt;=200),"Page 2 → deepen content / add article",IF(E262&gt;20,"Weak — needs dedicated page","OK"))))</f>
        <v>OK</v>
      </c>
    </row>
    <row r="263" customFormat="false" ht="15" hidden="false" customHeight="false" outlineLevel="0" collapsed="false">
      <c r="A263" s="6" t="s">
        <v>320</v>
      </c>
      <c r="B263" s="6" t="n">
        <v>1</v>
      </c>
      <c r="C263" s="6" t="n">
        <v>3</v>
      </c>
      <c r="D263" s="7" t="n">
        <v>0.3333</v>
      </c>
      <c r="E263" s="8" t="n">
        <v>7.33</v>
      </c>
      <c r="F263" s="6" t="s">
        <v>54</v>
      </c>
      <c r="G263" s="6" t="n">
        <f aca="false">IF(AND(E263&gt;=3,E263&lt;=20),ROUND(C263*(1-D263)*(1/E263),0),0)</f>
        <v>0</v>
      </c>
      <c r="H263" s="6" t="str">
        <f aca="false">IF(F263="Brand","Brand — already winning",IF(AND(E263&lt;=10,D263&lt;0.02,C263&gt;=200),"Ranks page 1 but no clicks → fix title/meta",IF(AND(E263&gt;10,E263&lt;=20,C263&gt;=200),"Page 2 → deepen content / add article",IF(E263&gt;20,"Weak — needs dedicated page","OK"))))</f>
        <v>OK</v>
      </c>
    </row>
    <row r="264" customFormat="false" ht="15" hidden="false" customHeight="false" outlineLevel="0" collapsed="false">
      <c r="A264" s="6" t="s">
        <v>321</v>
      </c>
      <c r="B264" s="6" t="n">
        <v>1</v>
      </c>
      <c r="C264" s="6" t="n">
        <v>3</v>
      </c>
      <c r="D264" s="7" t="n">
        <v>0.3333</v>
      </c>
      <c r="E264" s="8" t="n">
        <v>8</v>
      </c>
      <c r="F264" s="6" t="s">
        <v>58</v>
      </c>
      <c r="G264" s="6" t="n">
        <f aca="false">IF(AND(E264&gt;=3,E264&lt;=20),ROUND(C264*(1-D264)*(1/E264),0),0)</f>
        <v>0</v>
      </c>
      <c r="H264" s="6" t="str">
        <f aca="false">IF(F264="Brand","Brand — already winning",IF(AND(E264&lt;=10,D264&lt;0.02,C264&gt;=200),"Ranks page 1 but no clicks → fix title/meta",IF(AND(E264&gt;10,E264&lt;=20,C264&gt;=200),"Page 2 → deepen content / add article",IF(E264&gt;20,"Weak — needs dedicated page","OK"))))</f>
        <v>OK</v>
      </c>
    </row>
    <row r="265" customFormat="false" ht="15" hidden="false" customHeight="false" outlineLevel="0" collapsed="false">
      <c r="A265" s="6" t="s">
        <v>322</v>
      </c>
      <c r="B265" s="6" t="n">
        <v>1</v>
      </c>
      <c r="C265" s="6" t="n">
        <v>3</v>
      </c>
      <c r="D265" s="7" t="n">
        <v>0.3333</v>
      </c>
      <c r="E265" s="8" t="n">
        <v>10.67</v>
      </c>
      <c r="F265" s="6" t="s">
        <v>88</v>
      </c>
      <c r="G265" s="6" t="n">
        <f aca="false">IF(AND(E265&gt;=3,E265&lt;=20),ROUND(C265*(1-D265)*(1/E265),0),0)</f>
        <v>0</v>
      </c>
      <c r="H265" s="6" t="str">
        <f aca="false">IF(F265="Brand","Brand — already winning",IF(AND(E265&lt;=10,D265&lt;0.02,C265&gt;=200),"Ranks page 1 but no clicks → fix title/meta",IF(AND(E265&gt;10,E265&lt;=20,C265&gt;=200),"Page 2 → deepen content / add article",IF(E265&gt;20,"Weak — needs dedicated page","OK"))))</f>
        <v>OK</v>
      </c>
    </row>
    <row r="266" customFormat="false" ht="15" hidden="false" customHeight="false" outlineLevel="0" collapsed="false">
      <c r="A266" s="6" t="s">
        <v>323</v>
      </c>
      <c r="B266" s="6" t="n">
        <v>1</v>
      </c>
      <c r="C266" s="6" t="n">
        <v>3</v>
      </c>
      <c r="D266" s="7" t="n">
        <v>0.3333</v>
      </c>
      <c r="E266" s="8" t="n">
        <v>14</v>
      </c>
      <c r="F266" s="6" t="s">
        <v>54</v>
      </c>
      <c r="G266" s="6" t="n">
        <f aca="false">IF(AND(E266&gt;=3,E266&lt;=20),ROUND(C266*(1-D266)*(1/E266),0),0)</f>
        <v>0</v>
      </c>
      <c r="H266" s="6" t="str">
        <f aca="false">IF(F266="Brand","Brand — already winning",IF(AND(E266&lt;=10,D266&lt;0.02,C266&gt;=200),"Ranks page 1 but no clicks → fix title/meta",IF(AND(E266&gt;10,E266&lt;=20,C266&gt;=200),"Page 2 → deepen content / add article",IF(E266&gt;20,"Weak — needs dedicated page","OK"))))</f>
        <v>OK</v>
      </c>
    </row>
    <row r="267" customFormat="false" ht="15" hidden="false" customHeight="false" outlineLevel="0" collapsed="false">
      <c r="A267" s="6" t="s">
        <v>324</v>
      </c>
      <c r="B267" s="6" t="n">
        <v>1</v>
      </c>
      <c r="C267" s="6" t="n">
        <v>3</v>
      </c>
      <c r="D267" s="7" t="n">
        <v>0.3333</v>
      </c>
      <c r="E267" s="8" t="n">
        <v>15</v>
      </c>
      <c r="F267" s="6" t="s">
        <v>78</v>
      </c>
      <c r="G267" s="6" t="n">
        <f aca="false">IF(AND(E267&gt;=3,E267&lt;=20),ROUND(C267*(1-D267)*(1/E267),0),0)</f>
        <v>0</v>
      </c>
      <c r="H267" s="6" t="str">
        <f aca="false">IF(F267="Brand","Brand — already winning",IF(AND(E267&lt;=10,D267&lt;0.02,C267&gt;=200),"Ranks page 1 but no clicks → fix title/meta",IF(AND(E267&gt;10,E267&lt;=20,C267&gt;=200),"Page 2 → deepen content / add article",IF(E267&gt;20,"Weak — needs dedicated page","OK"))))</f>
        <v>OK</v>
      </c>
    </row>
    <row r="268" customFormat="false" ht="15" hidden="false" customHeight="false" outlineLevel="0" collapsed="false">
      <c r="A268" s="6" t="s">
        <v>325</v>
      </c>
      <c r="B268" s="6" t="n">
        <v>1</v>
      </c>
      <c r="C268" s="6" t="n">
        <v>3</v>
      </c>
      <c r="D268" s="7" t="n">
        <v>0.3333</v>
      </c>
      <c r="E268" s="8" t="n">
        <v>17.33</v>
      </c>
      <c r="F268" s="6" t="s">
        <v>88</v>
      </c>
      <c r="G268" s="6" t="n">
        <f aca="false">IF(AND(E268&gt;=3,E268&lt;=20),ROUND(C268*(1-D268)*(1/E268),0),0)</f>
        <v>0</v>
      </c>
      <c r="H268" s="6" t="str">
        <f aca="false">IF(F268="Brand","Brand — already winning",IF(AND(E268&lt;=10,D268&lt;0.02,C268&gt;=200),"Ranks page 1 but no clicks → fix title/meta",IF(AND(E268&gt;10,E268&lt;=20,C268&gt;=200),"Page 2 → deepen content / add article",IF(E268&gt;20,"Weak — needs dedicated page","OK"))))</f>
        <v>OK</v>
      </c>
    </row>
    <row r="269" customFormat="false" ht="15" hidden="false" customHeight="false" outlineLevel="0" collapsed="false">
      <c r="A269" s="6" t="s">
        <v>326</v>
      </c>
      <c r="B269" s="6" t="n">
        <v>1</v>
      </c>
      <c r="C269" s="6" t="n">
        <v>2</v>
      </c>
      <c r="D269" s="7" t="n">
        <v>0.5</v>
      </c>
      <c r="E269" s="8" t="n">
        <v>1</v>
      </c>
      <c r="F269" s="6" t="s">
        <v>78</v>
      </c>
      <c r="G269" s="6" t="n">
        <f aca="false">IF(AND(E269&gt;=3,E269&lt;=20),ROUND(C269*(1-D269)*(1/E269),0),0)</f>
        <v>0</v>
      </c>
      <c r="H269" s="6" t="str">
        <f aca="false">IF(F269="Brand","Brand — already winning",IF(AND(E269&lt;=10,D269&lt;0.02,C269&gt;=200),"Ranks page 1 but no clicks → fix title/meta",IF(AND(E269&gt;10,E269&lt;=20,C269&gt;=200),"Page 2 → deepen content / add article",IF(E269&gt;20,"Weak — needs dedicated page","OK"))))</f>
        <v>OK</v>
      </c>
    </row>
    <row r="270" customFormat="false" ht="15" hidden="false" customHeight="false" outlineLevel="0" collapsed="false">
      <c r="A270" s="6" t="s">
        <v>327</v>
      </c>
      <c r="B270" s="6" t="n">
        <v>1</v>
      </c>
      <c r="C270" s="6" t="n">
        <v>2</v>
      </c>
      <c r="D270" s="7" t="n">
        <v>0.5</v>
      </c>
      <c r="E270" s="8" t="n">
        <v>1</v>
      </c>
      <c r="F270" s="6" t="s">
        <v>68</v>
      </c>
      <c r="G270" s="6" t="n">
        <f aca="false">IF(AND(E270&gt;=3,E270&lt;=20),ROUND(C270*(1-D270)*(1/E270),0),0)</f>
        <v>0</v>
      </c>
      <c r="H270" s="6" t="str">
        <f aca="false">IF(F270="Brand","Brand — already winning",IF(AND(E270&lt;=10,D270&lt;0.02,C270&gt;=200),"Ranks page 1 but no clicks → fix title/meta",IF(AND(E270&gt;10,E270&lt;=20,C270&gt;=200),"Page 2 → deepen content / add article",IF(E270&gt;20,"Weak — needs dedicated page","OK"))))</f>
        <v>OK</v>
      </c>
    </row>
    <row r="271" customFormat="false" ht="15" hidden="false" customHeight="false" outlineLevel="0" collapsed="false">
      <c r="A271" s="6" t="s">
        <v>328</v>
      </c>
      <c r="B271" s="6" t="n">
        <v>1</v>
      </c>
      <c r="C271" s="6" t="n">
        <v>2</v>
      </c>
      <c r="D271" s="7" t="n">
        <v>0.5</v>
      </c>
      <c r="E271" s="8" t="n">
        <v>1</v>
      </c>
      <c r="F271" s="6" t="s">
        <v>54</v>
      </c>
      <c r="G271" s="6" t="n">
        <f aca="false">IF(AND(E271&gt;=3,E271&lt;=20),ROUND(C271*(1-D271)*(1/E271),0),0)</f>
        <v>0</v>
      </c>
      <c r="H271" s="6" t="str">
        <f aca="false">IF(F271="Brand","Brand — already winning",IF(AND(E271&lt;=10,D271&lt;0.02,C271&gt;=200),"Ranks page 1 but no clicks → fix title/meta",IF(AND(E271&gt;10,E271&lt;=20,C271&gt;=200),"Page 2 → deepen content / add article",IF(E271&gt;20,"Weak — needs dedicated page","OK"))))</f>
        <v>OK</v>
      </c>
    </row>
    <row r="272" customFormat="false" ht="15" hidden="false" customHeight="false" outlineLevel="0" collapsed="false">
      <c r="A272" s="6" t="s">
        <v>329</v>
      </c>
      <c r="B272" s="6" t="n">
        <v>1</v>
      </c>
      <c r="C272" s="6" t="n">
        <v>2</v>
      </c>
      <c r="D272" s="7" t="n">
        <v>0.5</v>
      </c>
      <c r="E272" s="8" t="n">
        <v>1</v>
      </c>
      <c r="F272" s="6" t="s">
        <v>61</v>
      </c>
      <c r="G272" s="6" t="n">
        <f aca="false">IF(AND(E272&gt;=3,E272&lt;=20),ROUND(C272*(1-D272)*(1/E272),0),0)</f>
        <v>0</v>
      </c>
      <c r="H272" s="6" t="str">
        <f aca="false">IF(F272="Brand","Brand — already winning",IF(AND(E272&lt;=10,D272&lt;0.02,C272&gt;=200),"Ranks page 1 but no clicks → fix title/meta",IF(AND(E272&gt;10,E272&lt;=20,C272&gt;=200),"Page 2 → deepen content / add article",IF(E272&gt;20,"Weak — needs dedicated page","OK"))))</f>
        <v>OK</v>
      </c>
    </row>
    <row r="273" customFormat="false" ht="15" hidden="false" customHeight="false" outlineLevel="0" collapsed="false">
      <c r="A273" s="6" t="s">
        <v>330</v>
      </c>
      <c r="B273" s="6" t="n">
        <v>1</v>
      </c>
      <c r="C273" s="6" t="n">
        <v>2</v>
      </c>
      <c r="D273" s="7" t="n">
        <v>0.5</v>
      </c>
      <c r="E273" s="8" t="n">
        <v>1</v>
      </c>
      <c r="F273" s="6" t="s">
        <v>78</v>
      </c>
      <c r="G273" s="6" t="n">
        <f aca="false">IF(AND(E273&gt;=3,E273&lt;=20),ROUND(C273*(1-D273)*(1/E273),0),0)</f>
        <v>0</v>
      </c>
      <c r="H273" s="6" t="str">
        <f aca="false">IF(F273="Brand","Brand — already winning",IF(AND(E273&lt;=10,D273&lt;0.02,C273&gt;=200),"Ranks page 1 but no clicks → fix title/meta",IF(AND(E273&gt;10,E273&lt;=20,C273&gt;=200),"Page 2 → deepen content / add article",IF(E273&gt;20,"Weak — needs dedicated page","OK"))))</f>
        <v>OK</v>
      </c>
    </row>
    <row r="274" customFormat="false" ht="15" hidden="false" customHeight="false" outlineLevel="0" collapsed="false">
      <c r="A274" s="6" t="s">
        <v>331</v>
      </c>
      <c r="B274" s="6" t="n">
        <v>1</v>
      </c>
      <c r="C274" s="6" t="n">
        <v>2</v>
      </c>
      <c r="D274" s="7" t="n">
        <v>0.5</v>
      </c>
      <c r="E274" s="8" t="n">
        <v>1</v>
      </c>
      <c r="F274" s="6" t="s">
        <v>78</v>
      </c>
      <c r="G274" s="6" t="n">
        <f aca="false">IF(AND(E274&gt;=3,E274&lt;=20),ROUND(C274*(1-D274)*(1/E274),0),0)</f>
        <v>0</v>
      </c>
      <c r="H274" s="6" t="str">
        <f aca="false">IF(F274="Brand","Brand — already winning",IF(AND(E274&lt;=10,D274&lt;0.02,C274&gt;=200),"Ranks page 1 but no clicks → fix title/meta",IF(AND(E274&gt;10,E274&lt;=20,C274&gt;=200),"Page 2 → deepen content / add article",IF(E274&gt;20,"Weak — needs dedicated page","OK"))))</f>
        <v>OK</v>
      </c>
    </row>
    <row r="275" customFormat="false" ht="15" hidden="false" customHeight="false" outlineLevel="0" collapsed="false">
      <c r="A275" s="6" t="s">
        <v>332</v>
      </c>
      <c r="B275" s="6" t="n">
        <v>1</v>
      </c>
      <c r="C275" s="6" t="n">
        <v>2</v>
      </c>
      <c r="D275" s="7" t="n">
        <v>0.5</v>
      </c>
      <c r="E275" s="8" t="n">
        <v>1</v>
      </c>
      <c r="F275" s="6" t="s">
        <v>78</v>
      </c>
      <c r="G275" s="6" t="n">
        <f aca="false">IF(AND(E275&gt;=3,E275&lt;=20),ROUND(C275*(1-D275)*(1/E275),0),0)</f>
        <v>0</v>
      </c>
      <c r="H275" s="6" t="str">
        <f aca="false">IF(F275="Brand","Brand — already winning",IF(AND(E275&lt;=10,D275&lt;0.02,C275&gt;=200),"Ranks page 1 but no clicks → fix title/meta",IF(AND(E275&gt;10,E275&lt;=20,C275&gt;=200),"Page 2 → deepen content / add article",IF(E275&gt;20,"Weak — needs dedicated page","OK"))))</f>
        <v>OK</v>
      </c>
    </row>
    <row r="276" customFormat="false" ht="15" hidden="false" customHeight="false" outlineLevel="0" collapsed="false">
      <c r="A276" s="6" t="s">
        <v>333</v>
      </c>
      <c r="B276" s="6" t="n">
        <v>1</v>
      </c>
      <c r="C276" s="6" t="n">
        <v>2</v>
      </c>
      <c r="D276" s="7" t="n">
        <v>0.5</v>
      </c>
      <c r="E276" s="8" t="n">
        <v>1.5</v>
      </c>
      <c r="F276" s="6" t="s">
        <v>63</v>
      </c>
      <c r="G276" s="6" t="n">
        <f aca="false">IF(AND(E276&gt;=3,E276&lt;=20),ROUND(C276*(1-D276)*(1/E276),0),0)</f>
        <v>0</v>
      </c>
      <c r="H276" s="6" t="str">
        <f aca="false">IF(F276="Brand","Brand — already winning",IF(AND(E276&lt;=10,D276&lt;0.02,C276&gt;=200),"Ranks page 1 but no clicks → fix title/meta",IF(AND(E276&gt;10,E276&lt;=20,C276&gt;=200),"Page 2 → deepen content / add article",IF(E276&gt;20,"Weak — needs dedicated page","OK"))))</f>
        <v>OK</v>
      </c>
    </row>
    <row r="277" customFormat="false" ht="15" hidden="false" customHeight="false" outlineLevel="0" collapsed="false">
      <c r="A277" s="6" t="s">
        <v>334</v>
      </c>
      <c r="B277" s="6" t="n">
        <v>1</v>
      </c>
      <c r="C277" s="6" t="n">
        <v>2</v>
      </c>
      <c r="D277" s="7" t="n">
        <v>0.5</v>
      </c>
      <c r="E277" s="8" t="n">
        <v>2</v>
      </c>
      <c r="F277" s="6" t="s">
        <v>58</v>
      </c>
      <c r="G277" s="6" t="n">
        <f aca="false">IF(AND(E277&gt;=3,E277&lt;=20),ROUND(C277*(1-D277)*(1/E277),0),0)</f>
        <v>0</v>
      </c>
      <c r="H277" s="6" t="str">
        <f aca="false">IF(F277="Brand","Brand — already winning",IF(AND(E277&lt;=10,D277&lt;0.02,C277&gt;=200),"Ranks page 1 but no clicks → fix title/meta",IF(AND(E277&gt;10,E277&lt;=20,C277&gt;=200),"Page 2 → deepen content / add article",IF(E277&gt;20,"Weak — needs dedicated page","OK"))))</f>
        <v>OK</v>
      </c>
    </row>
    <row r="278" customFormat="false" ht="15" hidden="false" customHeight="false" outlineLevel="0" collapsed="false">
      <c r="A278" s="6" t="s">
        <v>335</v>
      </c>
      <c r="B278" s="6" t="n">
        <v>1</v>
      </c>
      <c r="C278" s="6" t="n">
        <v>2</v>
      </c>
      <c r="D278" s="7" t="n">
        <v>0.5</v>
      </c>
      <c r="E278" s="8" t="n">
        <v>2.5</v>
      </c>
      <c r="F278" s="6" t="s">
        <v>68</v>
      </c>
      <c r="G278" s="6" t="n">
        <f aca="false">IF(AND(E278&gt;=3,E278&lt;=20),ROUND(C278*(1-D278)*(1/E278),0),0)</f>
        <v>0</v>
      </c>
      <c r="H278" s="6" t="str">
        <f aca="false">IF(F278="Brand","Brand — already winning",IF(AND(E278&lt;=10,D278&lt;0.02,C278&gt;=200),"Ranks page 1 but no clicks → fix title/meta",IF(AND(E278&gt;10,E278&lt;=20,C278&gt;=200),"Page 2 → deepen content / add article",IF(E278&gt;20,"Weak — needs dedicated page","OK"))))</f>
        <v>OK</v>
      </c>
    </row>
    <row r="279" customFormat="false" ht="15" hidden="false" customHeight="false" outlineLevel="0" collapsed="false">
      <c r="A279" s="6" t="s">
        <v>336</v>
      </c>
      <c r="B279" s="6" t="n">
        <v>1</v>
      </c>
      <c r="C279" s="6" t="n">
        <v>2</v>
      </c>
      <c r="D279" s="7" t="n">
        <v>0.5</v>
      </c>
      <c r="E279" s="8" t="n">
        <v>2.5</v>
      </c>
      <c r="F279" s="6" t="s">
        <v>63</v>
      </c>
      <c r="G279" s="6" t="n">
        <f aca="false">IF(AND(E279&gt;=3,E279&lt;=20),ROUND(C279*(1-D279)*(1/E279),0),0)</f>
        <v>0</v>
      </c>
      <c r="H279" s="6" t="str">
        <f aca="false">IF(F279="Brand","Brand — already winning",IF(AND(E279&lt;=10,D279&lt;0.02,C279&gt;=200),"Ranks page 1 but no clicks → fix title/meta",IF(AND(E279&gt;10,E279&lt;=20,C279&gt;=200),"Page 2 → deepen content / add article",IF(E279&gt;20,"Weak — needs dedicated page","OK"))))</f>
        <v>OK</v>
      </c>
    </row>
    <row r="280" customFormat="false" ht="15" hidden="false" customHeight="false" outlineLevel="0" collapsed="false">
      <c r="A280" s="6" t="s">
        <v>337</v>
      </c>
      <c r="B280" s="6" t="n">
        <v>1</v>
      </c>
      <c r="C280" s="6" t="n">
        <v>2</v>
      </c>
      <c r="D280" s="7" t="n">
        <v>0.5</v>
      </c>
      <c r="E280" s="8" t="n">
        <v>2.5</v>
      </c>
      <c r="F280" s="6" t="s">
        <v>56</v>
      </c>
      <c r="G280" s="6" t="n">
        <f aca="false">IF(AND(E280&gt;=3,E280&lt;=20),ROUND(C280*(1-D280)*(1/E280),0),0)</f>
        <v>0</v>
      </c>
      <c r="H280" s="6" t="str">
        <f aca="false">IF(F280="Brand","Brand — already winning",IF(AND(E280&lt;=10,D280&lt;0.02,C280&gt;=200),"Ranks page 1 but no clicks → fix title/meta",IF(AND(E280&gt;10,E280&lt;=20,C280&gt;=200),"Page 2 → deepen content / add article",IF(E280&gt;20,"Weak — needs dedicated page","OK"))))</f>
        <v>OK</v>
      </c>
    </row>
    <row r="281" customFormat="false" ht="15" hidden="false" customHeight="false" outlineLevel="0" collapsed="false">
      <c r="A281" s="6" t="s">
        <v>338</v>
      </c>
      <c r="B281" s="6" t="n">
        <v>1</v>
      </c>
      <c r="C281" s="6" t="n">
        <v>2</v>
      </c>
      <c r="D281" s="7" t="n">
        <v>0.5</v>
      </c>
      <c r="E281" s="8" t="n">
        <v>2.5</v>
      </c>
      <c r="F281" s="6" t="s">
        <v>65</v>
      </c>
      <c r="G281" s="6" t="n">
        <f aca="false">IF(AND(E281&gt;=3,E281&lt;=20),ROUND(C281*(1-D281)*(1/E281),0),0)</f>
        <v>0</v>
      </c>
      <c r="H281" s="6" t="str">
        <f aca="false">IF(F281="Brand","Brand — already winning",IF(AND(E281&lt;=10,D281&lt;0.02,C281&gt;=200),"Ranks page 1 but no clicks → fix title/meta",IF(AND(E281&gt;10,E281&lt;=20,C281&gt;=200),"Page 2 → deepen content / add article",IF(E281&gt;20,"Weak — needs dedicated page","OK"))))</f>
        <v>OK</v>
      </c>
    </row>
    <row r="282" customFormat="false" ht="15" hidden="false" customHeight="false" outlineLevel="0" collapsed="false">
      <c r="A282" s="6" t="s">
        <v>339</v>
      </c>
      <c r="B282" s="6" t="n">
        <v>1</v>
      </c>
      <c r="C282" s="6" t="n">
        <v>2</v>
      </c>
      <c r="D282" s="7" t="n">
        <v>0.5</v>
      </c>
      <c r="E282" s="8" t="n">
        <v>3.5</v>
      </c>
      <c r="F282" s="6" t="s">
        <v>78</v>
      </c>
      <c r="G282" s="6" t="n">
        <f aca="false">IF(AND(E282&gt;=3,E282&lt;=20),ROUND(C282*(1-D282)*(1/E282),0),0)</f>
        <v>0</v>
      </c>
      <c r="H282" s="6" t="str">
        <f aca="false">IF(F282="Brand","Brand — already winning",IF(AND(E282&lt;=10,D282&lt;0.02,C282&gt;=200),"Ranks page 1 but no clicks → fix title/meta",IF(AND(E282&gt;10,E282&lt;=20,C282&gt;=200),"Page 2 → deepen content / add article",IF(E282&gt;20,"Weak — needs dedicated page","OK"))))</f>
        <v>OK</v>
      </c>
    </row>
    <row r="283" customFormat="false" ht="15" hidden="false" customHeight="false" outlineLevel="0" collapsed="false">
      <c r="A283" s="6" t="s">
        <v>340</v>
      </c>
      <c r="B283" s="6" t="n">
        <v>1</v>
      </c>
      <c r="C283" s="6" t="n">
        <v>2</v>
      </c>
      <c r="D283" s="7" t="n">
        <v>0.5</v>
      </c>
      <c r="E283" s="8" t="n">
        <v>4</v>
      </c>
      <c r="F283" s="6" t="s">
        <v>78</v>
      </c>
      <c r="G283" s="6" t="n">
        <f aca="false">IF(AND(E283&gt;=3,E283&lt;=20),ROUND(C283*(1-D283)*(1/E283),0),0)</f>
        <v>0</v>
      </c>
      <c r="H283" s="6" t="str">
        <f aca="false">IF(F283="Brand","Brand — already winning",IF(AND(E283&lt;=10,D283&lt;0.02,C283&gt;=200),"Ranks page 1 but no clicks → fix title/meta",IF(AND(E283&gt;10,E283&lt;=20,C283&gt;=200),"Page 2 → deepen content / add article",IF(E283&gt;20,"Weak — needs dedicated page","OK"))))</f>
        <v>OK</v>
      </c>
    </row>
    <row r="284" customFormat="false" ht="15" hidden="false" customHeight="false" outlineLevel="0" collapsed="false">
      <c r="A284" s="6" t="s">
        <v>341</v>
      </c>
      <c r="B284" s="6" t="n">
        <v>1</v>
      </c>
      <c r="C284" s="6" t="n">
        <v>2</v>
      </c>
      <c r="D284" s="7" t="n">
        <v>0.5</v>
      </c>
      <c r="E284" s="8" t="n">
        <v>4.5</v>
      </c>
      <c r="F284" s="6" t="s">
        <v>61</v>
      </c>
      <c r="G284" s="6" t="n">
        <f aca="false">IF(AND(E284&gt;=3,E284&lt;=20),ROUND(C284*(1-D284)*(1/E284),0),0)</f>
        <v>0</v>
      </c>
      <c r="H284" s="6" t="str">
        <f aca="false">IF(F284="Brand","Brand — already winning",IF(AND(E284&lt;=10,D284&lt;0.02,C284&gt;=200),"Ranks page 1 but no clicks → fix title/meta",IF(AND(E284&gt;10,E284&lt;=20,C284&gt;=200),"Page 2 → deepen content / add article",IF(E284&gt;20,"Weak — needs dedicated page","OK"))))</f>
        <v>OK</v>
      </c>
    </row>
    <row r="285" customFormat="false" ht="15" hidden="false" customHeight="false" outlineLevel="0" collapsed="false">
      <c r="A285" s="6" t="s">
        <v>342</v>
      </c>
      <c r="B285" s="6" t="n">
        <v>1</v>
      </c>
      <c r="C285" s="6" t="n">
        <v>2</v>
      </c>
      <c r="D285" s="7" t="n">
        <v>0.5</v>
      </c>
      <c r="E285" s="8" t="n">
        <v>4.5</v>
      </c>
      <c r="F285" s="6" t="s">
        <v>56</v>
      </c>
      <c r="G285" s="6" t="n">
        <f aca="false">IF(AND(E285&gt;=3,E285&lt;=20),ROUND(C285*(1-D285)*(1/E285),0),0)</f>
        <v>0</v>
      </c>
      <c r="H285" s="6" t="str">
        <f aca="false">IF(F285="Brand","Brand — already winning",IF(AND(E285&lt;=10,D285&lt;0.02,C285&gt;=200),"Ranks page 1 but no clicks → fix title/meta",IF(AND(E285&gt;10,E285&lt;=20,C285&gt;=200),"Page 2 → deepen content / add article",IF(E285&gt;20,"Weak — needs dedicated page","OK"))))</f>
        <v>OK</v>
      </c>
    </row>
    <row r="286" customFormat="false" ht="15" hidden="false" customHeight="false" outlineLevel="0" collapsed="false">
      <c r="A286" s="6" t="s">
        <v>343</v>
      </c>
      <c r="B286" s="6" t="n">
        <v>1</v>
      </c>
      <c r="C286" s="6" t="n">
        <v>2</v>
      </c>
      <c r="D286" s="7" t="n">
        <v>0.5</v>
      </c>
      <c r="E286" s="8" t="n">
        <v>5</v>
      </c>
      <c r="F286" s="6" t="s">
        <v>54</v>
      </c>
      <c r="G286" s="6" t="n">
        <f aca="false">IF(AND(E286&gt;=3,E286&lt;=20),ROUND(C286*(1-D286)*(1/E286),0),0)</f>
        <v>0</v>
      </c>
      <c r="H286" s="6" t="str">
        <f aca="false">IF(F286="Brand","Brand — already winning",IF(AND(E286&lt;=10,D286&lt;0.02,C286&gt;=200),"Ranks page 1 but no clicks → fix title/meta",IF(AND(E286&gt;10,E286&lt;=20,C286&gt;=200),"Page 2 → deepen content / add article",IF(E286&gt;20,"Weak — needs dedicated page","OK"))))</f>
        <v>OK</v>
      </c>
    </row>
    <row r="287" customFormat="false" ht="15" hidden="false" customHeight="false" outlineLevel="0" collapsed="false">
      <c r="A287" s="6" t="s">
        <v>344</v>
      </c>
      <c r="B287" s="6" t="n">
        <v>1</v>
      </c>
      <c r="C287" s="6" t="n">
        <v>2</v>
      </c>
      <c r="D287" s="7" t="n">
        <v>0.5</v>
      </c>
      <c r="E287" s="8" t="n">
        <v>5</v>
      </c>
      <c r="F287" s="6" t="s">
        <v>43</v>
      </c>
      <c r="G287" s="6" t="n">
        <f aca="false">IF(AND(E287&gt;=3,E287&lt;=20),ROUND(C287*(1-D287)*(1/E287),0),0)</f>
        <v>0</v>
      </c>
      <c r="H287" s="6" t="str">
        <f aca="false">IF(F287="Brand","Brand — already winning",IF(AND(E287&lt;=10,D287&lt;0.02,C287&gt;=200),"Ranks page 1 but no clicks → fix title/meta",IF(AND(E287&gt;10,E287&lt;=20,C287&gt;=200),"Page 2 → deepen content / add article",IF(E287&gt;20,"Weak — needs dedicated page","OK"))))</f>
        <v>Brand — already winning</v>
      </c>
    </row>
    <row r="288" customFormat="false" ht="15" hidden="false" customHeight="false" outlineLevel="0" collapsed="false">
      <c r="A288" s="6" t="s">
        <v>345</v>
      </c>
      <c r="B288" s="6" t="n">
        <v>1</v>
      </c>
      <c r="C288" s="6" t="n">
        <v>2</v>
      </c>
      <c r="D288" s="7" t="n">
        <v>0.5</v>
      </c>
      <c r="E288" s="8" t="n">
        <v>5</v>
      </c>
      <c r="F288" s="6" t="s">
        <v>43</v>
      </c>
      <c r="G288" s="6" t="n">
        <f aca="false">IF(AND(E288&gt;=3,E288&lt;=20),ROUND(C288*(1-D288)*(1/E288),0),0)</f>
        <v>0</v>
      </c>
      <c r="H288" s="6" t="str">
        <f aca="false">IF(F288="Brand","Brand — already winning",IF(AND(E288&lt;=10,D288&lt;0.02,C288&gt;=200),"Ranks page 1 but no clicks → fix title/meta",IF(AND(E288&gt;10,E288&lt;=20,C288&gt;=200),"Page 2 → deepen content / add article",IF(E288&gt;20,"Weak — needs dedicated page","OK"))))</f>
        <v>Brand — already winning</v>
      </c>
    </row>
    <row r="289" customFormat="false" ht="15" hidden="false" customHeight="false" outlineLevel="0" collapsed="false">
      <c r="A289" s="6" t="s">
        <v>346</v>
      </c>
      <c r="B289" s="6" t="n">
        <v>1</v>
      </c>
      <c r="C289" s="6" t="n">
        <v>2</v>
      </c>
      <c r="D289" s="7" t="n">
        <v>0.5</v>
      </c>
      <c r="E289" s="8" t="n">
        <v>5.5</v>
      </c>
      <c r="F289" s="6" t="s">
        <v>78</v>
      </c>
      <c r="G289" s="6" t="n">
        <f aca="false">IF(AND(E289&gt;=3,E289&lt;=20),ROUND(C289*(1-D289)*(1/E289),0),0)</f>
        <v>0</v>
      </c>
      <c r="H289" s="6" t="str">
        <f aca="false">IF(F289="Brand","Brand — already winning",IF(AND(E289&lt;=10,D289&lt;0.02,C289&gt;=200),"Ranks page 1 but no clicks → fix title/meta",IF(AND(E289&gt;10,E289&lt;=20,C289&gt;=200),"Page 2 → deepen content / add article",IF(E289&gt;20,"Weak — needs dedicated page","OK"))))</f>
        <v>OK</v>
      </c>
    </row>
    <row r="290" customFormat="false" ht="15" hidden="false" customHeight="false" outlineLevel="0" collapsed="false">
      <c r="A290" s="6" t="s">
        <v>347</v>
      </c>
      <c r="B290" s="6" t="n">
        <v>1</v>
      </c>
      <c r="C290" s="6" t="n">
        <v>2</v>
      </c>
      <c r="D290" s="7" t="n">
        <v>0.5</v>
      </c>
      <c r="E290" s="8" t="n">
        <v>6</v>
      </c>
      <c r="F290" s="6" t="s">
        <v>48</v>
      </c>
      <c r="G290" s="6" t="n">
        <f aca="false">IF(AND(E290&gt;=3,E290&lt;=20),ROUND(C290*(1-D290)*(1/E290),0),0)</f>
        <v>0</v>
      </c>
      <c r="H290" s="6" t="str">
        <f aca="false">IF(F290="Brand","Brand — already winning",IF(AND(E290&lt;=10,D290&lt;0.02,C290&gt;=200),"Ranks page 1 but no clicks → fix title/meta",IF(AND(E290&gt;10,E290&lt;=20,C290&gt;=200),"Page 2 → deepen content / add article",IF(E290&gt;20,"Weak — needs dedicated page","OK"))))</f>
        <v>OK</v>
      </c>
    </row>
    <row r="291" customFormat="false" ht="15" hidden="false" customHeight="false" outlineLevel="0" collapsed="false">
      <c r="A291" s="6" t="s">
        <v>348</v>
      </c>
      <c r="B291" s="6" t="n">
        <v>1</v>
      </c>
      <c r="C291" s="6" t="n">
        <v>2</v>
      </c>
      <c r="D291" s="7" t="n">
        <v>0.5</v>
      </c>
      <c r="E291" s="8" t="n">
        <v>7</v>
      </c>
      <c r="F291" s="6" t="s">
        <v>78</v>
      </c>
      <c r="G291" s="6" t="n">
        <f aca="false">IF(AND(E291&gt;=3,E291&lt;=20),ROUND(C291*(1-D291)*(1/E291),0),0)</f>
        <v>0</v>
      </c>
      <c r="H291" s="6" t="str">
        <f aca="false">IF(F291="Brand","Brand — already winning",IF(AND(E291&lt;=10,D291&lt;0.02,C291&gt;=200),"Ranks page 1 but no clicks → fix title/meta",IF(AND(E291&gt;10,E291&lt;=20,C291&gt;=200),"Page 2 → deepen content / add article",IF(E291&gt;20,"Weak — needs dedicated page","OK"))))</f>
        <v>OK</v>
      </c>
    </row>
    <row r="292" customFormat="false" ht="15" hidden="false" customHeight="false" outlineLevel="0" collapsed="false">
      <c r="A292" s="6" t="s">
        <v>349</v>
      </c>
      <c r="B292" s="6" t="n">
        <v>1</v>
      </c>
      <c r="C292" s="6" t="n">
        <v>2</v>
      </c>
      <c r="D292" s="7" t="n">
        <v>0.5</v>
      </c>
      <c r="E292" s="8" t="n">
        <v>7.5</v>
      </c>
      <c r="F292" s="6" t="s">
        <v>78</v>
      </c>
      <c r="G292" s="6" t="n">
        <f aca="false">IF(AND(E292&gt;=3,E292&lt;=20),ROUND(C292*(1-D292)*(1/E292),0),0)</f>
        <v>0</v>
      </c>
      <c r="H292" s="6" t="str">
        <f aca="false">IF(F292="Brand","Brand — already winning",IF(AND(E292&lt;=10,D292&lt;0.02,C292&gt;=200),"Ranks page 1 but no clicks → fix title/meta",IF(AND(E292&gt;10,E292&lt;=20,C292&gt;=200),"Page 2 → deepen content / add article",IF(E292&gt;20,"Weak — needs dedicated page","OK"))))</f>
        <v>OK</v>
      </c>
    </row>
    <row r="293" customFormat="false" ht="15" hidden="false" customHeight="false" outlineLevel="0" collapsed="false">
      <c r="A293" s="6" t="s">
        <v>350</v>
      </c>
      <c r="B293" s="6" t="n">
        <v>1</v>
      </c>
      <c r="C293" s="6" t="n">
        <v>2</v>
      </c>
      <c r="D293" s="7" t="n">
        <v>0.5</v>
      </c>
      <c r="E293" s="8" t="n">
        <v>9</v>
      </c>
      <c r="F293" s="6" t="s">
        <v>78</v>
      </c>
      <c r="G293" s="6" t="n">
        <f aca="false">IF(AND(E293&gt;=3,E293&lt;=20),ROUND(C293*(1-D293)*(1/E293),0),0)</f>
        <v>0</v>
      </c>
      <c r="H293" s="6" t="str">
        <f aca="false">IF(F293="Brand","Brand — already winning",IF(AND(E293&lt;=10,D293&lt;0.02,C293&gt;=200),"Ranks page 1 but no clicks → fix title/meta",IF(AND(E293&gt;10,E293&lt;=20,C293&gt;=200),"Page 2 → deepen content / add article",IF(E293&gt;20,"Weak — needs dedicated page","OK"))))</f>
        <v>OK</v>
      </c>
    </row>
    <row r="294" customFormat="false" ht="15" hidden="false" customHeight="false" outlineLevel="0" collapsed="false">
      <c r="A294" s="6" t="s">
        <v>351</v>
      </c>
      <c r="B294" s="6" t="n">
        <v>1</v>
      </c>
      <c r="C294" s="6" t="n">
        <v>2</v>
      </c>
      <c r="D294" s="7" t="n">
        <v>0.5</v>
      </c>
      <c r="E294" s="8" t="n">
        <v>9.5</v>
      </c>
      <c r="F294" s="6" t="s">
        <v>56</v>
      </c>
      <c r="G294" s="6" t="n">
        <f aca="false">IF(AND(E294&gt;=3,E294&lt;=20),ROUND(C294*(1-D294)*(1/E294),0),0)</f>
        <v>0</v>
      </c>
      <c r="H294" s="6" t="str">
        <f aca="false">IF(F294="Brand","Brand — already winning",IF(AND(E294&lt;=10,D294&lt;0.02,C294&gt;=200),"Ranks page 1 but no clicks → fix title/meta",IF(AND(E294&gt;10,E294&lt;=20,C294&gt;=200),"Page 2 → deepen content / add article",IF(E294&gt;20,"Weak — needs dedicated page","OK"))))</f>
        <v>OK</v>
      </c>
    </row>
    <row r="295" customFormat="false" ht="15" hidden="false" customHeight="false" outlineLevel="0" collapsed="false">
      <c r="A295" s="6" t="s">
        <v>352</v>
      </c>
      <c r="B295" s="6" t="n">
        <v>1</v>
      </c>
      <c r="C295" s="6" t="n">
        <v>2</v>
      </c>
      <c r="D295" s="7" t="n">
        <v>0.5</v>
      </c>
      <c r="E295" s="8" t="n">
        <v>13.5</v>
      </c>
      <c r="F295" s="6" t="s">
        <v>78</v>
      </c>
      <c r="G295" s="6" t="n">
        <f aca="false">IF(AND(E295&gt;=3,E295&lt;=20),ROUND(C295*(1-D295)*(1/E295),0),0)</f>
        <v>0</v>
      </c>
      <c r="H295" s="6" t="str">
        <f aca="false">IF(F295="Brand","Brand — already winning",IF(AND(E295&lt;=10,D295&lt;0.02,C295&gt;=200),"Ranks page 1 but no clicks → fix title/meta",IF(AND(E295&gt;10,E295&lt;=20,C295&gt;=200),"Page 2 → deepen content / add article",IF(E295&gt;20,"Weak — needs dedicated page","OK"))))</f>
        <v>OK</v>
      </c>
    </row>
    <row r="296" customFormat="false" ht="15" hidden="false" customHeight="false" outlineLevel="0" collapsed="false">
      <c r="A296" s="6" t="s">
        <v>353</v>
      </c>
      <c r="B296" s="6" t="n">
        <v>1</v>
      </c>
      <c r="C296" s="6" t="n">
        <v>2</v>
      </c>
      <c r="D296" s="7" t="n">
        <v>0.5</v>
      </c>
      <c r="E296" s="8" t="n">
        <v>48.5</v>
      </c>
      <c r="F296" s="6" t="s">
        <v>78</v>
      </c>
      <c r="G296" s="6" t="n">
        <f aca="false">IF(AND(E296&gt;=3,E296&lt;=20),ROUND(C296*(1-D296)*(1/E296),0),0)</f>
        <v>0</v>
      </c>
      <c r="H296" s="6" t="str">
        <f aca="false">IF(F296="Brand","Brand — already winning",IF(AND(E296&lt;=10,D296&lt;0.02,C296&gt;=200),"Ranks page 1 but no clicks → fix title/meta",IF(AND(E296&gt;10,E296&lt;=20,C296&gt;=200),"Page 2 → deepen content / add article",IF(E296&gt;20,"Weak — needs dedicated page","OK"))))</f>
        <v>Weak — needs dedicated page</v>
      </c>
    </row>
    <row r="297" customFormat="false" ht="15" hidden="false" customHeight="false" outlineLevel="0" collapsed="false">
      <c r="A297" s="6" t="s">
        <v>354</v>
      </c>
      <c r="B297" s="6" t="n">
        <v>1</v>
      </c>
      <c r="C297" s="6" t="n">
        <v>2</v>
      </c>
      <c r="D297" s="7" t="n">
        <v>0.5</v>
      </c>
      <c r="E297" s="8" t="n">
        <v>50.5</v>
      </c>
      <c r="F297" s="6" t="s">
        <v>162</v>
      </c>
      <c r="G297" s="6" t="n">
        <f aca="false">IF(AND(E297&gt;=3,E297&lt;=20),ROUND(C297*(1-D297)*(1/E297),0),0)</f>
        <v>0</v>
      </c>
      <c r="H297" s="6" t="str">
        <f aca="false">IF(F297="Brand","Brand — already winning",IF(AND(E297&lt;=10,D297&lt;0.02,C297&gt;=200),"Ranks page 1 but no clicks → fix title/meta",IF(AND(E297&gt;10,E297&lt;=20,C297&gt;=200),"Page 2 → deepen content / add article",IF(E297&gt;20,"Weak — needs dedicated page","OK"))))</f>
        <v>Weak — needs dedicated page</v>
      </c>
    </row>
    <row r="298" customFormat="false" ht="15" hidden="false" customHeight="false" outlineLevel="0" collapsed="false">
      <c r="A298" s="6" t="s">
        <v>355</v>
      </c>
      <c r="B298" s="6" t="n">
        <v>1</v>
      </c>
      <c r="C298" s="6" t="n">
        <v>1</v>
      </c>
      <c r="D298" s="7" t="n">
        <v>1</v>
      </c>
      <c r="E298" s="8" t="n">
        <v>1</v>
      </c>
      <c r="F298" s="6" t="s">
        <v>78</v>
      </c>
      <c r="G298" s="6" t="n">
        <f aca="false">IF(AND(E298&gt;=3,E298&lt;=20),ROUND(C298*(1-D298)*(1/E298),0),0)</f>
        <v>0</v>
      </c>
      <c r="H298" s="6" t="str">
        <f aca="false">IF(F298="Brand","Brand — already winning",IF(AND(E298&lt;=10,D298&lt;0.02,C298&gt;=200),"Ranks page 1 but no clicks → fix title/meta",IF(AND(E298&gt;10,E298&lt;=20,C298&gt;=200),"Page 2 → deepen content / add article",IF(E298&gt;20,"Weak — needs dedicated page","OK"))))</f>
        <v>OK</v>
      </c>
    </row>
    <row r="299" customFormat="false" ht="15" hidden="false" customHeight="false" outlineLevel="0" collapsed="false">
      <c r="A299" s="6" t="s">
        <v>356</v>
      </c>
      <c r="B299" s="6" t="n">
        <v>1</v>
      </c>
      <c r="C299" s="6" t="n">
        <v>1</v>
      </c>
      <c r="D299" s="7" t="n">
        <v>1</v>
      </c>
      <c r="E299" s="8" t="n">
        <v>1</v>
      </c>
      <c r="F299" s="6" t="s">
        <v>78</v>
      </c>
      <c r="G299" s="6" t="n">
        <f aca="false">IF(AND(E299&gt;=3,E299&lt;=20),ROUND(C299*(1-D299)*(1/E299),0),0)</f>
        <v>0</v>
      </c>
      <c r="H299" s="6" t="str">
        <f aca="false">IF(F299="Brand","Brand — already winning",IF(AND(E299&lt;=10,D299&lt;0.02,C299&gt;=200),"Ranks page 1 but no clicks → fix title/meta",IF(AND(E299&gt;10,E299&lt;=20,C299&gt;=200),"Page 2 → deepen content / add article",IF(E299&gt;20,"Weak — needs dedicated page","OK"))))</f>
        <v>OK</v>
      </c>
    </row>
    <row r="300" customFormat="false" ht="15" hidden="false" customHeight="false" outlineLevel="0" collapsed="false">
      <c r="A300" s="6" t="s">
        <v>357</v>
      </c>
      <c r="B300" s="6" t="n">
        <v>1</v>
      </c>
      <c r="C300" s="6" t="n">
        <v>1</v>
      </c>
      <c r="D300" s="7" t="n">
        <v>1</v>
      </c>
      <c r="E300" s="8" t="n">
        <v>1</v>
      </c>
      <c r="F300" s="6" t="s">
        <v>61</v>
      </c>
      <c r="G300" s="6" t="n">
        <f aca="false">IF(AND(E300&gt;=3,E300&lt;=20),ROUND(C300*(1-D300)*(1/E300),0),0)</f>
        <v>0</v>
      </c>
      <c r="H300" s="6" t="str">
        <f aca="false">IF(F300="Brand","Brand — already winning",IF(AND(E300&lt;=10,D300&lt;0.02,C300&gt;=200),"Ranks page 1 but no clicks → fix title/meta",IF(AND(E300&gt;10,E300&lt;=20,C300&gt;=200),"Page 2 → deepen content / add article",IF(E300&gt;20,"Weak — needs dedicated page","OK"))))</f>
        <v>OK</v>
      </c>
    </row>
    <row r="301" customFormat="false" ht="15" hidden="false" customHeight="false" outlineLevel="0" collapsed="false">
      <c r="A301" s="6" t="s">
        <v>358</v>
      </c>
      <c r="B301" s="6" t="n">
        <v>1</v>
      </c>
      <c r="C301" s="6" t="n">
        <v>1</v>
      </c>
      <c r="D301" s="7" t="n">
        <v>1</v>
      </c>
      <c r="E301" s="8" t="n">
        <v>1</v>
      </c>
      <c r="F301" s="6" t="s">
        <v>65</v>
      </c>
      <c r="G301" s="6" t="n">
        <f aca="false">IF(AND(E301&gt;=3,E301&lt;=20),ROUND(C301*(1-D301)*(1/E301),0),0)</f>
        <v>0</v>
      </c>
      <c r="H301" s="6" t="str">
        <f aca="false">IF(F301="Brand","Brand — already winning",IF(AND(E301&lt;=10,D301&lt;0.02,C301&gt;=200),"Ranks page 1 but no clicks → fix title/meta",IF(AND(E301&gt;10,E301&lt;=20,C301&gt;=200),"Page 2 → deepen content / add article",IF(E301&gt;20,"Weak — needs dedicated page","OK"))))</f>
        <v>OK</v>
      </c>
    </row>
    <row r="302" customFormat="false" ht="15" hidden="false" customHeight="false" outlineLevel="0" collapsed="false">
      <c r="A302" s="6" t="s">
        <v>359</v>
      </c>
      <c r="B302" s="6" t="n">
        <v>1</v>
      </c>
      <c r="C302" s="6" t="n">
        <v>1</v>
      </c>
      <c r="D302" s="7" t="n">
        <v>1</v>
      </c>
      <c r="E302" s="8" t="n">
        <v>1</v>
      </c>
      <c r="F302" s="6" t="s">
        <v>78</v>
      </c>
      <c r="G302" s="6" t="n">
        <f aca="false">IF(AND(E302&gt;=3,E302&lt;=20),ROUND(C302*(1-D302)*(1/E302),0),0)</f>
        <v>0</v>
      </c>
      <c r="H302" s="6" t="str">
        <f aca="false">IF(F302="Brand","Brand — already winning",IF(AND(E302&lt;=10,D302&lt;0.02,C302&gt;=200),"Ranks page 1 but no clicks → fix title/meta",IF(AND(E302&gt;10,E302&lt;=20,C302&gt;=200),"Page 2 → deepen content / add article",IF(E302&gt;20,"Weak — needs dedicated page","OK"))))</f>
        <v>OK</v>
      </c>
    </row>
    <row r="303" customFormat="false" ht="15" hidden="false" customHeight="false" outlineLevel="0" collapsed="false">
      <c r="A303" s="6" t="s">
        <v>360</v>
      </c>
      <c r="B303" s="6" t="n">
        <v>1</v>
      </c>
      <c r="C303" s="6" t="n">
        <v>1</v>
      </c>
      <c r="D303" s="7" t="n">
        <v>1</v>
      </c>
      <c r="E303" s="8" t="n">
        <v>1</v>
      </c>
      <c r="F303" s="6" t="s">
        <v>88</v>
      </c>
      <c r="G303" s="6" t="n">
        <f aca="false">IF(AND(E303&gt;=3,E303&lt;=20),ROUND(C303*(1-D303)*(1/E303),0),0)</f>
        <v>0</v>
      </c>
      <c r="H303" s="6" t="str">
        <f aca="false">IF(F303="Brand","Brand — already winning",IF(AND(E303&lt;=10,D303&lt;0.02,C303&gt;=200),"Ranks page 1 but no clicks → fix title/meta",IF(AND(E303&gt;10,E303&lt;=20,C303&gt;=200),"Page 2 → deepen content / add article",IF(E303&gt;20,"Weak — needs dedicated page","OK"))))</f>
        <v>OK</v>
      </c>
    </row>
    <row r="304" customFormat="false" ht="15" hidden="false" customHeight="false" outlineLevel="0" collapsed="false">
      <c r="A304" s="6" t="s">
        <v>361</v>
      </c>
      <c r="B304" s="6" t="n">
        <v>1</v>
      </c>
      <c r="C304" s="6" t="n">
        <v>1</v>
      </c>
      <c r="D304" s="7" t="n">
        <v>1</v>
      </c>
      <c r="E304" s="8" t="n">
        <v>1</v>
      </c>
      <c r="F304" s="6" t="s">
        <v>54</v>
      </c>
      <c r="G304" s="6" t="n">
        <f aca="false">IF(AND(E304&gt;=3,E304&lt;=20),ROUND(C304*(1-D304)*(1/E304),0),0)</f>
        <v>0</v>
      </c>
      <c r="H304" s="6" t="str">
        <f aca="false">IF(F304="Brand","Brand — already winning",IF(AND(E304&lt;=10,D304&lt;0.02,C304&gt;=200),"Ranks page 1 but no clicks → fix title/meta",IF(AND(E304&gt;10,E304&lt;=20,C304&gt;=200),"Page 2 → deepen content / add article",IF(E304&gt;20,"Weak — needs dedicated page","OK"))))</f>
        <v>OK</v>
      </c>
    </row>
    <row r="305" customFormat="false" ht="15" hidden="false" customHeight="false" outlineLevel="0" collapsed="false">
      <c r="A305" s="6" t="s">
        <v>362</v>
      </c>
      <c r="B305" s="6" t="n">
        <v>1</v>
      </c>
      <c r="C305" s="6" t="n">
        <v>1</v>
      </c>
      <c r="D305" s="7" t="n">
        <v>1</v>
      </c>
      <c r="E305" s="8" t="n">
        <v>1</v>
      </c>
      <c r="F305" s="6" t="s">
        <v>99</v>
      </c>
      <c r="G305" s="6" t="n">
        <f aca="false">IF(AND(E305&gt;=3,E305&lt;=20),ROUND(C305*(1-D305)*(1/E305),0),0)</f>
        <v>0</v>
      </c>
      <c r="H305" s="6" t="str">
        <f aca="false">IF(F305="Brand","Brand — already winning",IF(AND(E305&lt;=10,D305&lt;0.02,C305&gt;=200),"Ranks page 1 but no clicks → fix title/meta",IF(AND(E305&gt;10,E305&lt;=20,C305&gt;=200),"Page 2 → deepen content / add article",IF(E305&gt;20,"Weak — needs dedicated page","OK"))))</f>
        <v>OK</v>
      </c>
    </row>
    <row r="306" customFormat="false" ht="15" hidden="false" customHeight="false" outlineLevel="0" collapsed="false">
      <c r="A306" s="6" t="s">
        <v>363</v>
      </c>
      <c r="B306" s="6" t="n">
        <v>1</v>
      </c>
      <c r="C306" s="6" t="n">
        <v>1</v>
      </c>
      <c r="D306" s="7" t="n">
        <v>1</v>
      </c>
      <c r="E306" s="8" t="n">
        <v>1</v>
      </c>
      <c r="F306" s="6" t="s">
        <v>65</v>
      </c>
      <c r="G306" s="6" t="n">
        <f aca="false">IF(AND(E306&gt;=3,E306&lt;=20),ROUND(C306*(1-D306)*(1/E306),0),0)</f>
        <v>0</v>
      </c>
      <c r="H306" s="6" t="str">
        <f aca="false">IF(F306="Brand","Brand — already winning",IF(AND(E306&lt;=10,D306&lt;0.02,C306&gt;=200),"Ranks page 1 but no clicks → fix title/meta",IF(AND(E306&gt;10,E306&lt;=20,C306&gt;=200),"Page 2 → deepen content / add article",IF(E306&gt;20,"Weak — needs dedicated page","OK"))))</f>
        <v>OK</v>
      </c>
    </row>
    <row r="307" customFormat="false" ht="15" hidden="false" customHeight="false" outlineLevel="0" collapsed="false">
      <c r="A307" s="6" t="s">
        <v>364</v>
      </c>
      <c r="B307" s="6" t="n">
        <v>1</v>
      </c>
      <c r="C307" s="6" t="n">
        <v>1</v>
      </c>
      <c r="D307" s="7" t="n">
        <v>1</v>
      </c>
      <c r="E307" s="8" t="n">
        <v>1</v>
      </c>
      <c r="F307" s="6" t="s">
        <v>65</v>
      </c>
      <c r="G307" s="6" t="n">
        <f aca="false">IF(AND(E307&gt;=3,E307&lt;=20),ROUND(C307*(1-D307)*(1/E307),0),0)</f>
        <v>0</v>
      </c>
      <c r="H307" s="6" t="str">
        <f aca="false">IF(F307="Brand","Brand — already winning",IF(AND(E307&lt;=10,D307&lt;0.02,C307&gt;=200),"Ranks page 1 but no clicks → fix title/meta",IF(AND(E307&gt;10,E307&lt;=20,C307&gt;=200),"Page 2 → deepen content / add article",IF(E307&gt;20,"Weak — needs dedicated page","OK"))))</f>
        <v>OK</v>
      </c>
    </row>
    <row r="308" customFormat="false" ht="15" hidden="false" customHeight="false" outlineLevel="0" collapsed="false">
      <c r="A308" s="6" t="s">
        <v>365</v>
      </c>
      <c r="B308" s="6" t="n">
        <v>1</v>
      </c>
      <c r="C308" s="6" t="n">
        <v>1</v>
      </c>
      <c r="D308" s="7" t="n">
        <v>1</v>
      </c>
      <c r="E308" s="8" t="n">
        <v>1</v>
      </c>
      <c r="F308" s="6" t="s">
        <v>63</v>
      </c>
      <c r="G308" s="6" t="n">
        <f aca="false">IF(AND(E308&gt;=3,E308&lt;=20),ROUND(C308*(1-D308)*(1/E308),0),0)</f>
        <v>0</v>
      </c>
      <c r="H308" s="6" t="str">
        <f aca="false">IF(F308="Brand","Brand — already winning",IF(AND(E308&lt;=10,D308&lt;0.02,C308&gt;=200),"Ranks page 1 but no clicks → fix title/meta",IF(AND(E308&gt;10,E308&lt;=20,C308&gt;=200),"Page 2 → deepen content / add article",IF(E308&gt;20,"Weak — needs dedicated page","OK"))))</f>
        <v>OK</v>
      </c>
    </row>
    <row r="309" customFormat="false" ht="15" hidden="false" customHeight="false" outlineLevel="0" collapsed="false">
      <c r="A309" s="6" t="s">
        <v>366</v>
      </c>
      <c r="B309" s="6" t="n">
        <v>1</v>
      </c>
      <c r="C309" s="6" t="n">
        <v>1</v>
      </c>
      <c r="D309" s="7" t="n">
        <v>1</v>
      </c>
      <c r="E309" s="8" t="n">
        <v>1</v>
      </c>
      <c r="F309" s="6" t="s">
        <v>54</v>
      </c>
      <c r="G309" s="6" t="n">
        <f aca="false">IF(AND(E309&gt;=3,E309&lt;=20),ROUND(C309*(1-D309)*(1/E309),0),0)</f>
        <v>0</v>
      </c>
      <c r="H309" s="6" t="str">
        <f aca="false">IF(F309="Brand","Brand — already winning",IF(AND(E309&lt;=10,D309&lt;0.02,C309&gt;=200),"Ranks page 1 but no clicks → fix title/meta",IF(AND(E309&gt;10,E309&lt;=20,C309&gt;=200),"Page 2 → deepen content / add article",IF(E309&gt;20,"Weak — needs dedicated page","OK"))))</f>
        <v>OK</v>
      </c>
    </row>
    <row r="310" customFormat="false" ht="15" hidden="false" customHeight="false" outlineLevel="0" collapsed="false">
      <c r="A310" s="6" t="s">
        <v>367</v>
      </c>
      <c r="B310" s="6" t="n">
        <v>1</v>
      </c>
      <c r="C310" s="6" t="n">
        <v>1</v>
      </c>
      <c r="D310" s="7" t="n">
        <v>1</v>
      </c>
      <c r="E310" s="8" t="n">
        <v>1</v>
      </c>
      <c r="F310" s="6" t="s">
        <v>56</v>
      </c>
      <c r="G310" s="6" t="n">
        <f aca="false">IF(AND(E310&gt;=3,E310&lt;=20),ROUND(C310*(1-D310)*(1/E310),0),0)</f>
        <v>0</v>
      </c>
      <c r="H310" s="6" t="str">
        <f aca="false">IF(F310="Brand","Brand — already winning",IF(AND(E310&lt;=10,D310&lt;0.02,C310&gt;=200),"Ranks page 1 but no clicks → fix title/meta",IF(AND(E310&gt;10,E310&lt;=20,C310&gt;=200),"Page 2 → deepen content / add article",IF(E310&gt;20,"Weak — needs dedicated page","OK"))))</f>
        <v>OK</v>
      </c>
    </row>
    <row r="311" customFormat="false" ht="15" hidden="false" customHeight="false" outlineLevel="0" collapsed="false">
      <c r="A311" s="6" t="s">
        <v>368</v>
      </c>
      <c r="B311" s="6" t="n">
        <v>1</v>
      </c>
      <c r="C311" s="6" t="n">
        <v>1</v>
      </c>
      <c r="D311" s="7" t="n">
        <v>1</v>
      </c>
      <c r="E311" s="8" t="n">
        <v>1</v>
      </c>
      <c r="F311" s="6" t="s">
        <v>68</v>
      </c>
      <c r="G311" s="6" t="n">
        <f aca="false">IF(AND(E311&gt;=3,E311&lt;=20),ROUND(C311*(1-D311)*(1/E311),0),0)</f>
        <v>0</v>
      </c>
      <c r="H311" s="6" t="str">
        <f aca="false">IF(F311="Brand","Brand — already winning",IF(AND(E311&lt;=10,D311&lt;0.02,C311&gt;=200),"Ranks page 1 but no clicks → fix title/meta",IF(AND(E311&gt;10,E311&lt;=20,C311&gt;=200),"Page 2 → deepen content / add article",IF(E311&gt;20,"Weak — needs dedicated page","OK"))))</f>
        <v>OK</v>
      </c>
    </row>
    <row r="312" customFormat="false" ht="15" hidden="false" customHeight="false" outlineLevel="0" collapsed="false">
      <c r="A312" s="6" t="s">
        <v>369</v>
      </c>
      <c r="B312" s="6" t="n">
        <v>1</v>
      </c>
      <c r="C312" s="6" t="n">
        <v>1</v>
      </c>
      <c r="D312" s="7" t="n">
        <v>1</v>
      </c>
      <c r="E312" s="8" t="n">
        <v>1</v>
      </c>
      <c r="F312" s="6" t="s">
        <v>71</v>
      </c>
      <c r="G312" s="6" t="n">
        <f aca="false">IF(AND(E312&gt;=3,E312&lt;=20),ROUND(C312*(1-D312)*(1/E312),0),0)</f>
        <v>0</v>
      </c>
      <c r="H312" s="6" t="str">
        <f aca="false">IF(F312="Brand","Brand — already winning",IF(AND(E312&lt;=10,D312&lt;0.02,C312&gt;=200),"Ranks page 1 but no clicks → fix title/meta",IF(AND(E312&gt;10,E312&lt;=20,C312&gt;=200),"Page 2 → deepen content / add article",IF(E312&gt;20,"Weak — needs dedicated page","OK"))))</f>
        <v>OK</v>
      </c>
    </row>
    <row r="313" customFormat="false" ht="15" hidden="false" customHeight="false" outlineLevel="0" collapsed="false">
      <c r="A313" s="6" t="s">
        <v>370</v>
      </c>
      <c r="B313" s="6" t="n">
        <v>1</v>
      </c>
      <c r="C313" s="6" t="n">
        <v>1</v>
      </c>
      <c r="D313" s="7" t="n">
        <v>1</v>
      </c>
      <c r="E313" s="8" t="n">
        <v>1</v>
      </c>
      <c r="F313" s="6" t="s">
        <v>71</v>
      </c>
      <c r="G313" s="6" t="n">
        <f aca="false">IF(AND(E313&gt;=3,E313&lt;=20),ROUND(C313*(1-D313)*(1/E313),0),0)</f>
        <v>0</v>
      </c>
      <c r="H313" s="6" t="str">
        <f aca="false">IF(F313="Brand","Brand — already winning",IF(AND(E313&lt;=10,D313&lt;0.02,C313&gt;=200),"Ranks page 1 but no clicks → fix title/meta",IF(AND(E313&gt;10,E313&lt;=20,C313&gt;=200),"Page 2 → deepen content / add article",IF(E313&gt;20,"Weak — needs dedicated page","OK"))))</f>
        <v>OK</v>
      </c>
    </row>
    <row r="314" customFormat="false" ht="15" hidden="false" customHeight="false" outlineLevel="0" collapsed="false">
      <c r="A314" s="6" t="s">
        <v>371</v>
      </c>
      <c r="B314" s="6" t="n">
        <v>1</v>
      </c>
      <c r="C314" s="6" t="n">
        <v>1</v>
      </c>
      <c r="D314" s="7" t="n">
        <v>1</v>
      </c>
      <c r="E314" s="8" t="n">
        <v>1</v>
      </c>
      <c r="F314" s="6" t="s">
        <v>78</v>
      </c>
      <c r="G314" s="6" t="n">
        <f aca="false">IF(AND(E314&gt;=3,E314&lt;=20),ROUND(C314*(1-D314)*(1/E314),0),0)</f>
        <v>0</v>
      </c>
      <c r="H314" s="6" t="str">
        <f aca="false">IF(F314="Brand","Brand — already winning",IF(AND(E314&lt;=10,D314&lt;0.02,C314&gt;=200),"Ranks page 1 but no clicks → fix title/meta",IF(AND(E314&gt;10,E314&lt;=20,C314&gt;=200),"Page 2 → deepen content / add article",IF(E314&gt;20,"Weak — needs dedicated page","OK"))))</f>
        <v>OK</v>
      </c>
    </row>
    <row r="315" customFormat="false" ht="15" hidden="false" customHeight="false" outlineLevel="0" collapsed="false">
      <c r="A315" s="6" t="s">
        <v>372</v>
      </c>
      <c r="B315" s="6" t="n">
        <v>1</v>
      </c>
      <c r="C315" s="6" t="n">
        <v>1</v>
      </c>
      <c r="D315" s="7" t="n">
        <v>1</v>
      </c>
      <c r="E315" s="8" t="n">
        <v>1</v>
      </c>
      <c r="F315" s="6" t="s">
        <v>43</v>
      </c>
      <c r="G315" s="6" t="n">
        <f aca="false">IF(AND(E315&gt;=3,E315&lt;=20),ROUND(C315*(1-D315)*(1/E315),0),0)</f>
        <v>0</v>
      </c>
      <c r="H315" s="6" t="str">
        <f aca="false">IF(F315="Brand","Brand — already winning",IF(AND(E315&lt;=10,D315&lt;0.02,C315&gt;=200),"Ranks page 1 but no clicks → fix title/meta",IF(AND(E315&gt;10,E315&lt;=20,C315&gt;=200),"Page 2 → deepen content / add article",IF(E315&gt;20,"Weak — needs dedicated page","OK"))))</f>
        <v>Brand — already winning</v>
      </c>
    </row>
    <row r="316" customFormat="false" ht="15" hidden="false" customHeight="false" outlineLevel="0" collapsed="false">
      <c r="A316" s="6" t="s">
        <v>373</v>
      </c>
      <c r="B316" s="6" t="n">
        <v>1</v>
      </c>
      <c r="C316" s="6" t="n">
        <v>1</v>
      </c>
      <c r="D316" s="7" t="n">
        <v>1</v>
      </c>
      <c r="E316" s="8" t="n">
        <v>1</v>
      </c>
      <c r="F316" s="6" t="s">
        <v>56</v>
      </c>
      <c r="G316" s="6" t="n">
        <f aca="false">IF(AND(E316&gt;=3,E316&lt;=20),ROUND(C316*(1-D316)*(1/E316),0),0)</f>
        <v>0</v>
      </c>
      <c r="H316" s="6" t="str">
        <f aca="false">IF(F316="Brand","Brand — already winning",IF(AND(E316&lt;=10,D316&lt;0.02,C316&gt;=200),"Ranks page 1 but no clicks → fix title/meta",IF(AND(E316&gt;10,E316&lt;=20,C316&gt;=200),"Page 2 → deepen content / add article",IF(E316&gt;20,"Weak — needs dedicated page","OK"))))</f>
        <v>OK</v>
      </c>
    </row>
    <row r="317" customFormat="false" ht="15" hidden="false" customHeight="false" outlineLevel="0" collapsed="false">
      <c r="A317" s="6" t="s">
        <v>374</v>
      </c>
      <c r="B317" s="6" t="n">
        <v>1</v>
      </c>
      <c r="C317" s="6" t="n">
        <v>1</v>
      </c>
      <c r="D317" s="7" t="n">
        <v>1</v>
      </c>
      <c r="E317" s="8" t="n">
        <v>1</v>
      </c>
      <c r="F317" s="6" t="s">
        <v>58</v>
      </c>
      <c r="G317" s="6" t="n">
        <f aca="false">IF(AND(E317&gt;=3,E317&lt;=20),ROUND(C317*(1-D317)*(1/E317),0),0)</f>
        <v>0</v>
      </c>
      <c r="H317" s="6" t="str">
        <f aca="false">IF(F317="Brand","Brand — already winning",IF(AND(E317&lt;=10,D317&lt;0.02,C317&gt;=200),"Ranks page 1 but no clicks → fix title/meta",IF(AND(E317&gt;10,E317&lt;=20,C317&gt;=200),"Page 2 → deepen content / add article",IF(E317&gt;20,"Weak — needs dedicated page","OK"))))</f>
        <v>OK</v>
      </c>
    </row>
    <row r="318" customFormat="false" ht="15" hidden="false" customHeight="false" outlineLevel="0" collapsed="false">
      <c r="A318" s="6" t="s">
        <v>375</v>
      </c>
      <c r="B318" s="6" t="n">
        <v>1</v>
      </c>
      <c r="C318" s="6" t="n">
        <v>1</v>
      </c>
      <c r="D318" s="7" t="n">
        <v>1</v>
      </c>
      <c r="E318" s="8" t="n">
        <v>1</v>
      </c>
      <c r="F318" s="6" t="s">
        <v>78</v>
      </c>
      <c r="G318" s="6" t="n">
        <f aca="false">IF(AND(E318&gt;=3,E318&lt;=20),ROUND(C318*(1-D318)*(1/E318),0),0)</f>
        <v>0</v>
      </c>
      <c r="H318" s="6" t="str">
        <f aca="false">IF(F318="Brand","Brand — already winning",IF(AND(E318&lt;=10,D318&lt;0.02,C318&gt;=200),"Ranks page 1 but no clicks → fix title/meta",IF(AND(E318&gt;10,E318&lt;=20,C318&gt;=200),"Page 2 → deepen content / add article",IF(E318&gt;20,"Weak — needs dedicated page","OK"))))</f>
        <v>OK</v>
      </c>
    </row>
    <row r="319" customFormat="false" ht="15" hidden="false" customHeight="false" outlineLevel="0" collapsed="false">
      <c r="A319" s="6" t="s">
        <v>376</v>
      </c>
      <c r="B319" s="6" t="n">
        <v>1</v>
      </c>
      <c r="C319" s="6" t="n">
        <v>1</v>
      </c>
      <c r="D319" s="7" t="n">
        <v>1</v>
      </c>
      <c r="E319" s="8" t="n">
        <v>1</v>
      </c>
      <c r="F319" s="6" t="s">
        <v>78</v>
      </c>
      <c r="G319" s="6" t="n">
        <f aca="false">IF(AND(E319&gt;=3,E319&lt;=20),ROUND(C319*(1-D319)*(1/E319),0),0)</f>
        <v>0</v>
      </c>
      <c r="H319" s="6" t="str">
        <f aca="false">IF(F319="Brand","Brand — already winning",IF(AND(E319&lt;=10,D319&lt;0.02,C319&gt;=200),"Ranks page 1 but no clicks → fix title/meta",IF(AND(E319&gt;10,E319&lt;=20,C319&gt;=200),"Page 2 → deepen content / add article",IF(E319&gt;20,"Weak — needs dedicated page","OK"))))</f>
        <v>OK</v>
      </c>
    </row>
    <row r="320" customFormat="false" ht="15" hidden="false" customHeight="false" outlineLevel="0" collapsed="false">
      <c r="A320" s="6" t="s">
        <v>377</v>
      </c>
      <c r="B320" s="6" t="n">
        <v>1</v>
      </c>
      <c r="C320" s="6" t="n">
        <v>1</v>
      </c>
      <c r="D320" s="7" t="n">
        <v>1</v>
      </c>
      <c r="E320" s="8" t="n">
        <v>1</v>
      </c>
      <c r="F320" s="6" t="s">
        <v>99</v>
      </c>
      <c r="G320" s="6" t="n">
        <f aca="false">IF(AND(E320&gt;=3,E320&lt;=20),ROUND(C320*(1-D320)*(1/E320),0),0)</f>
        <v>0</v>
      </c>
      <c r="H320" s="6" t="str">
        <f aca="false">IF(F320="Brand","Brand — already winning",IF(AND(E320&lt;=10,D320&lt;0.02,C320&gt;=200),"Ranks page 1 but no clicks → fix title/meta",IF(AND(E320&gt;10,E320&lt;=20,C320&gt;=200),"Page 2 → deepen content / add article",IF(E320&gt;20,"Weak — needs dedicated page","OK"))))</f>
        <v>OK</v>
      </c>
    </row>
    <row r="321" customFormat="false" ht="15" hidden="false" customHeight="false" outlineLevel="0" collapsed="false">
      <c r="A321" s="6" t="s">
        <v>378</v>
      </c>
      <c r="B321" s="6" t="n">
        <v>1</v>
      </c>
      <c r="C321" s="6" t="n">
        <v>1</v>
      </c>
      <c r="D321" s="7" t="n">
        <v>1</v>
      </c>
      <c r="E321" s="8" t="n">
        <v>1</v>
      </c>
      <c r="F321" s="6" t="s">
        <v>78</v>
      </c>
      <c r="G321" s="6" t="n">
        <f aca="false">IF(AND(E321&gt;=3,E321&lt;=20),ROUND(C321*(1-D321)*(1/E321),0),0)</f>
        <v>0</v>
      </c>
      <c r="H321" s="6" t="str">
        <f aca="false">IF(F321="Brand","Brand — already winning",IF(AND(E321&lt;=10,D321&lt;0.02,C321&gt;=200),"Ranks page 1 but no clicks → fix title/meta",IF(AND(E321&gt;10,E321&lt;=20,C321&gt;=200),"Page 2 → deepen content / add article",IF(E321&gt;20,"Weak — needs dedicated page","OK"))))</f>
        <v>OK</v>
      </c>
    </row>
    <row r="322" customFormat="false" ht="15" hidden="false" customHeight="false" outlineLevel="0" collapsed="false">
      <c r="A322" s="6" t="s">
        <v>379</v>
      </c>
      <c r="B322" s="6" t="n">
        <v>1</v>
      </c>
      <c r="C322" s="6" t="n">
        <v>1</v>
      </c>
      <c r="D322" s="7" t="n">
        <v>1</v>
      </c>
      <c r="E322" s="8" t="n">
        <v>1</v>
      </c>
      <c r="F322" s="6" t="s">
        <v>48</v>
      </c>
      <c r="G322" s="6" t="n">
        <f aca="false">IF(AND(E322&gt;=3,E322&lt;=20),ROUND(C322*(1-D322)*(1/E322),0),0)</f>
        <v>0</v>
      </c>
      <c r="H322" s="6" t="str">
        <f aca="false">IF(F322="Brand","Brand — already winning",IF(AND(E322&lt;=10,D322&lt;0.02,C322&gt;=200),"Ranks page 1 but no clicks → fix title/meta",IF(AND(E322&gt;10,E322&lt;=20,C322&gt;=200),"Page 2 → deepen content / add article",IF(E322&gt;20,"Weak — needs dedicated page","OK"))))</f>
        <v>OK</v>
      </c>
    </row>
    <row r="323" customFormat="false" ht="15" hidden="false" customHeight="false" outlineLevel="0" collapsed="false">
      <c r="A323" s="6" t="s">
        <v>380</v>
      </c>
      <c r="B323" s="6" t="n">
        <v>1</v>
      </c>
      <c r="C323" s="6" t="n">
        <v>1</v>
      </c>
      <c r="D323" s="7" t="n">
        <v>1</v>
      </c>
      <c r="E323" s="8" t="n">
        <v>1</v>
      </c>
      <c r="F323" s="6" t="s">
        <v>78</v>
      </c>
      <c r="G323" s="6" t="n">
        <f aca="false">IF(AND(E323&gt;=3,E323&lt;=20),ROUND(C323*(1-D323)*(1/E323),0),0)</f>
        <v>0</v>
      </c>
      <c r="H323" s="6" t="str">
        <f aca="false">IF(F323="Brand","Brand — already winning",IF(AND(E323&lt;=10,D323&lt;0.02,C323&gt;=200),"Ranks page 1 but no clicks → fix title/meta",IF(AND(E323&gt;10,E323&lt;=20,C323&gt;=200),"Page 2 → deepen content / add article",IF(E323&gt;20,"Weak — needs dedicated page","OK"))))</f>
        <v>OK</v>
      </c>
    </row>
    <row r="324" customFormat="false" ht="15" hidden="false" customHeight="false" outlineLevel="0" collapsed="false">
      <c r="A324" s="6" t="s">
        <v>381</v>
      </c>
      <c r="B324" s="6" t="n">
        <v>1</v>
      </c>
      <c r="C324" s="6" t="n">
        <v>1</v>
      </c>
      <c r="D324" s="7" t="n">
        <v>1</v>
      </c>
      <c r="E324" s="8" t="n">
        <v>1</v>
      </c>
      <c r="F324" s="6" t="s">
        <v>99</v>
      </c>
      <c r="G324" s="6" t="n">
        <f aca="false">IF(AND(E324&gt;=3,E324&lt;=20),ROUND(C324*(1-D324)*(1/E324),0),0)</f>
        <v>0</v>
      </c>
      <c r="H324" s="6" t="str">
        <f aca="false">IF(F324="Brand","Brand — already winning",IF(AND(E324&lt;=10,D324&lt;0.02,C324&gt;=200),"Ranks page 1 but no clicks → fix title/meta",IF(AND(E324&gt;10,E324&lt;=20,C324&gt;=200),"Page 2 → deepen content / add article",IF(E324&gt;20,"Weak — needs dedicated page","OK"))))</f>
        <v>OK</v>
      </c>
    </row>
    <row r="325" customFormat="false" ht="15" hidden="false" customHeight="false" outlineLevel="0" collapsed="false">
      <c r="A325" s="6" t="s">
        <v>382</v>
      </c>
      <c r="B325" s="6" t="n">
        <v>1</v>
      </c>
      <c r="C325" s="6" t="n">
        <v>1</v>
      </c>
      <c r="D325" s="7" t="n">
        <v>1</v>
      </c>
      <c r="E325" s="8" t="n">
        <v>1</v>
      </c>
      <c r="F325" s="6" t="s">
        <v>99</v>
      </c>
      <c r="G325" s="6" t="n">
        <f aca="false">IF(AND(E325&gt;=3,E325&lt;=20),ROUND(C325*(1-D325)*(1/E325),0),0)</f>
        <v>0</v>
      </c>
      <c r="H325" s="6" t="str">
        <f aca="false">IF(F325="Brand","Brand — already winning",IF(AND(E325&lt;=10,D325&lt;0.02,C325&gt;=200),"Ranks page 1 but no clicks → fix title/meta",IF(AND(E325&gt;10,E325&lt;=20,C325&gt;=200),"Page 2 → deepen content / add article",IF(E325&gt;20,"Weak — needs dedicated page","OK"))))</f>
        <v>OK</v>
      </c>
    </row>
    <row r="326" customFormat="false" ht="15" hidden="false" customHeight="false" outlineLevel="0" collapsed="false">
      <c r="A326" s="6" t="s">
        <v>383</v>
      </c>
      <c r="B326" s="6" t="n">
        <v>1</v>
      </c>
      <c r="C326" s="6" t="n">
        <v>1</v>
      </c>
      <c r="D326" s="7" t="n">
        <v>1</v>
      </c>
      <c r="E326" s="8" t="n">
        <v>1</v>
      </c>
      <c r="F326" s="6" t="s">
        <v>58</v>
      </c>
      <c r="G326" s="6" t="n">
        <f aca="false">IF(AND(E326&gt;=3,E326&lt;=20),ROUND(C326*(1-D326)*(1/E326),0),0)</f>
        <v>0</v>
      </c>
      <c r="H326" s="6" t="str">
        <f aca="false">IF(F326="Brand","Brand — already winning",IF(AND(E326&lt;=10,D326&lt;0.02,C326&gt;=200),"Ranks page 1 but no clicks → fix title/meta",IF(AND(E326&gt;10,E326&lt;=20,C326&gt;=200),"Page 2 → deepen content / add article",IF(E326&gt;20,"Weak — needs dedicated page","OK"))))</f>
        <v>OK</v>
      </c>
    </row>
    <row r="327" customFormat="false" ht="15" hidden="false" customHeight="false" outlineLevel="0" collapsed="false">
      <c r="A327" s="6" t="s">
        <v>384</v>
      </c>
      <c r="B327" s="6" t="n">
        <v>1</v>
      </c>
      <c r="C327" s="6" t="n">
        <v>1</v>
      </c>
      <c r="D327" s="7" t="n">
        <v>1</v>
      </c>
      <c r="E327" s="8" t="n">
        <v>1</v>
      </c>
      <c r="F327" s="6" t="s">
        <v>54</v>
      </c>
      <c r="G327" s="6" t="n">
        <f aca="false">IF(AND(E327&gt;=3,E327&lt;=20),ROUND(C327*(1-D327)*(1/E327),0),0)</f>
        <v>0</v>
      </c>
      <c r="H327" s="6" t="str">
        <f aca="false">IF(F327="Brand","Brand — already winning",IF(AND(E327&lt;=10,D327&lt;0.02,C327&gt;=200),"Ranks page 1 but no clicks → fix title/meta",IF(AND(E327&gt;10,E327&lt;=20,C327&gt;=200),"Page 2 → deepen content / add article",IF(E327&gt;20,"Weak — needs dedicated page","OK"))))</f>
        <v>OK</v>
      </c>
    </row>
    <row r="328" customFormat="false" ht="15" hidden="false" customHeight="false" outlineLevel="0" collapsed="false">
      <c r="A328" s="6" t="s">
        <v>385</v>
      </c>
      <c r="B328" s="6" t="n">
        <v>1</v>
      </c>
      <c r="C328" s="6" t="n">
        <v>1</v>
      </c>
      <c r="D328" s="7" t="n">
        <v>1</v>
      </c>
      <c r="E328" s="8" t="n">
        <v>1</v>
      </c>
      <c r="F328" s="6" t="s">
        <v>78</v>
      </c>
      <c r="G328" s="6" t="n">
        <f aca="false">IF(AND(E328&gt;=3,E328&lt;=20),ROUND(C328*(1-D328)*(1/E328),0),0)</f>
        <v>0</v>
      </c>
      <c r="H328" s="6" t="str">
        <f aca="false">IF(F328="Brand","Brand — already winning",IF(AND(E328&lt;=10,D328&lt;0.02,C328&gt;=200),"Ranks page 1 but no clicks → fix title/meta",IF(AND(E328&gt;10,E328&lt;=20,C328&gt;=200),"Page 2 → deepen content / add article",IF(E328&gt;20,"Weak — needs dedicated page","OK"))))</f>
        <v>OK</v>
      </c>
    </row>
    <row r="329" customFormat="false" ht="15" hidden="false" customHeight="false" outlineLevel="0" collapsed="false">
      <c r="A329" s="6" t="s">
        <v>386</v>
      </c>
      <c r="B329" s="6" t="n">
        <v>1</v>
      </c>
      <c r="C329" s="6" t="n">
        <v>1</v>
      </c>
      <c r="D329" s="7" t="n">
        <v>1</v>
      </c>
      <c r="E329" s="8" t="n">
        <v>2</v>
      </c>
      <c r="F329" s="6" t="s">
        <v>78</v>
      </c>
      <c r="G329" s="6" t="n">
        <f aca="false">IF(AND(E329&gt;=3,E329&lt;=20),ROUND(C329*(1-D329)*(1/E329),0),0)</f>
        <v>0</v>
      </c>
      <c r="H329" s="6" t="str">
        <f aca="false">IF(F329="Brand","Brand — already winning",IF(AND(E329&lt;=10,D329&lt;0.02,C329&gt;=200),"Ranks page 1 but no clicks → fix title/meta",IF(AND(E329&gt;10,E329&lt;=20,C329&gt;=200),"Page 2 → deepen content / add article",IF(E329&gt;20,"Weak — needs dedicated page","OK"))))</f>
        <v>OK</v>
      </c>
    </row>
    <row r="330" customFormat="false" ht="15" hidden="false" customHeight="false" outlineLevel="0" collapsed="false">
      <c r="A330" s="6" t="s">
        <v>387</v>
      </c>
      <c r="B330" s="6" t="n">
        <v>1</v>
      </c>
      <c r="C330" s="6" t="n">
        <v>1</v>
      </c>
      <c r="D330" s="7" t="n">
        <v>1</v>
      </c>
      <c r="E330" s="8" t="n">
        <v>2</v>
      </c>
      <c r="F330" s="6" t="s">
        <v>54</v>
      </c>
      <c r="G330" s="6" t="n">
        <f aca="false">IF(AND(E330&gt;=3,E330&lt;=20),ROUND(C330*(1-D330)*(1/E330),0),0)</f>
        <v>0</v>
      </c>
      <c r="H330" s="6" t="str">
        <f aca="false">IF(F330="Brand","Brand — already winning",IF(AND(E330&lt;=10,D330&lt;0.02,C330&gt;=200),"Ranks page 1 but no clicks → fix title/meta",IF(AND(E330&gt;10,E330&lt;=20,C330&gt;=200),"Page 2 → deepen content / add article",IF(E330&gt;20,"Weak — needs dedicated page","OK"))))</f>
        <v>OK</v>
      </c>
    </row>
    <row r="331" customFormat="false" ht="15" hidden="false" customHeight="false" outlineLevel="0" collapsed="false">
      <c r="A331" s="6" t="s">
        <v>388</v>
      </c>
      <c r="B331" s="6" t="n">
        <v>1</v>
      </c>
      <c r="C331" s="6" t="n">
        <v>1</v>
      </c>
      <c r="D331" s="7" t="n">
        <v>1</v>
      </c>
      <c r="E331" s="8" t="n">
        <v>2</v>
      </c>
      <c r="F331" s="6" t="s">
        <v>78</v>
      </c>
      <c r="G331" s="6" t="n">
        <f aca="false">IF(AND(E331&gt;=3,E331&lt;=20),ROUND(C331*(1-D331)*(1/E331),0),0)</f>
        <v>0</v>
      </c>
      <c r="H331" s="6" t="str">
        <f aca="false">IF(F331="Brand","Brand — already winning",IF(AND(E331&lt;=10,D331&lt;0.02,C331&gt;=200),"Ranks page 1 but no clicks → fix title/meta",IF(AND(E331&gt;10,E331&lt;=20,C331&gt;=200),"Page 2 → deepen content / add article",IF(E331&gt;20,"Weak — needs dedicated page","OK"))))</f>
        <v>OK</v>
      </c>
    </row>
    <row r="332" customFormat="false" ht="15" hidden="false" customHeight="false" outlineLevel="0" collapsed="false">
      <c r="A332" s="6" t="s">
        <v>389</v>
      </c>
      <c r="B332" s="6" t="n">
        <v>1</v>
      </c>
      <c r="C332" s="6" t="n">
        <v>1</v>
      </c>
      <c r="D332" s="7" t="n">
        <v>1</v>
      </c>
      <c r="E332" s="8" t="n">
        <v>2</v>
      </c>
      <c r="F332" s="6" t="s">
        <v>78</v>
      </c>
      <c r="G332" s="6" t="n">
        <f aca="false">IF(AND(E332&gt;=3,E332&lt;=20),ROUND(C332*(1-D332)*(1/E332),0),0)</f>
        <v>0</v>
      </c>
      <c r="H332" s="6" t="str">
        <f aca="false">IF(F332="Brand","Brand — already winning",IF(AND(E332&lt;=10,D332&lt;0.02,C332&gt;=200),"Ranks page 1 but no clicks → fix title/meta",IF(AND(E332&gt;10,E332&lt;=20,C332&gt;=200),"Page 2 → deepen content / add article",IF(E332&gt;20,"Weak — needs dedicated page","OK"))))</f>
        <v>OK</v>
      </c>
    </row>
    <row r="333" customFormat="false" ht="15" hidden="false" customHeight="false" outlineLevel="0" collapsed="false">
      <c r="A333" s="6" t="s">
        <v>390</v>
      </c>
      <c r="B333" s="6" t="n">
        <v>1</v>
      </c>
      <c r="C333" s="6" t="n">
        <v>1</v>
      </c>
      <c r="D333" s="7" t="n">
        <v>1</v>
      </c>
      <c r="E333" s="8" t="n">
        <v>2</v>
      </c>
      <c r="F333" s="6" t="s">
        <v>65</v>
      </c>
      <c r="G333" s="6" t="n">
        <f aca="false">IF(AND(E333&gt;=3,E333&lt;=20),ROUND(C333*(1-D333)*(1/E333),0),0)</f>
        <v>0</v>
      </c>
      <c r="H333" s="6" t="str">
        <f aca="false">IF(F333="Brand","Brand — already winning",IF(AND(E333&lt;=10,D333&lt;0.02,C333&gt;=200),"Ranks page 1 but no clicks → fix title/meta",IF(AND(E333&gt;10,E333&lt;=20,C333&gt;=200),"Page 2 → deepen content / add article",IF(E333&gt;20,"Weak — needs dedicated page","OK"))))</f>
        <v>OK</v>
      </c>
    </row>
    <row r="334" customFormat="false" ht="15" hidden="false" customHeight="false" outlineLevel="0" collapsed="false">
      <c r="A334" s="6" t="s">
        <v>391</v>
      </c>
      <c r="B334" s="6" t="n">
        <v>1</v>
      </c>
      <c r="C334" s="6" t="n">
        <v>1</v>
      </c>
      <c r="D334" s="7" t="n">
        <v>1</v>
      </c>
      <c r="E334" s="8" t="n">
        <v>3</v>
      </c>
      <c r="F334" s="6" t="s">
        <v>58</v>
      </c>
      <c r="G334" s="6" t="n">
        <f aca="false">IF(AND(E334&gt;=3,E334&lt;=20),ROUND(C334*(1-D334)*(1/E334),0),0)</f>
        <v>0</v>
      </c>
      <c r="H334" s="6" t="str">
        <f aca="false">IF(F334="Brand","Brand — already winning",IF(AND(E334&lt;=10,D334&lt;0.02,C334&gt;=200),"Ranks page 1 but no clicks → fix title/meta",IF(AND(E334&gt;10,E334&lt;=20,C334&gt;=200),"Page 2 → deepen content / add article",IF(E334&gt;20,"Weak — needs dedicated page","OK"))))</f>
        <v>OK</v>
      </c>
    </row>
    <row r="335" customFormat="false" ht="15" hidden="false" customHeight="false" outlineLevel="0" collapsed="false">
      <c r="A335" s="6" t="s">
        <v>392</v>
      </c>
      <c r="B335" s="6" t="n">
        <v>1</v>
      </c>
      <c r="C335" s="6" t="n">
        <v>1</v>
      </c>
      <c r="D335" s="7" t="n">
        <v>1</v>
      </c>
      <c r="E335" s="8" t="n">
        <v>3</v>
      </c>
      <c r="F335" s="6" t="s">
        <v>78</v>
      </c>
      <c r="G335" s="6" t="n">
        <f aca="false">IF(AND(E335&gt;=3,E335&lt;=20),ROUND(C335*(1-D335)*(1/E335),0),0)</f>
        <v>0</v>
      </c>
      <c r="H335" s="6" t="str">
        <f aca="false">IF(F335="Brand","Brand — already winning",IF(AND(E335&lt;=10,D335&lt;0.02,C335&gt;=200),"Ranks page 1 but no clicks → fix title/meta",IF(AND(E335&gt;10,E335&lt;=20,C335&gt;=200),"Page 2 → deepen content / add article",IF(E335&gt;20,"Weak — needs dedicated page","OK"))))</f>
        <v>OK</v>
      </c>
    </row>
    <row r="336" customFormat="false" ht="15" hidden="false" customHeight="false" outlineLevel="0" collapsed="false">
      <c r="A336" s="6" t="s">
        <v>393</v>
      </c>
      <c r="B336" s="6" t="n">
        <v>1</v>
      </c>
      <c r="C336" s="6" t="n">
        <v>1</v>
      </c>
      <c r="D336" s="7" t="n">
        <v>1</v>
      </c>
      <c r="E336" s="8" t="n">
        <v>3</v>
      </c>
      <c r="F336" s="6" t="s">
        <v>78</v>
      </c>
      <c r="G336" s="6" t="n">
        <f aca="false">IF(AND(E336&gt;=3,E336&lt;=20),ROUND(C336*(1-D336)*(1/E336),0),0)</f>
        <v>0</v>
      </c>
      <c r="H336" s="6" t="str">
        <f aca="false">IF(F336="Brand","Brand — already winning",IF(AND(E336&lt;=10,D336&lt;0.02,C336&gt;=200),"Ranks page 1 but no clicks → fix title/meta",IF(AND(E336&gt;10,E336&lt;=20,C336&gt;=200),"Page 2 → deepen content / add article",IF(E336&gt;20,"Weak — needs dedicated page","OK"))))</f>
        <v>OK</v>
      </c>
    </row>
    <row r="337" customFormat="false" ht="15" hidden="false" customHeight="false" outlineLevel="0" collapsed="false">
      <c r="A337" s="6" t="s">
        <v>394</v>
      </c>
      <c r="B337" s="6" t="n">
        <v>1</v>
      </c>
      <c r="C337" s="6" t="n">
        <v>1</v>
      </c>
      <c r="D337" s="7" t="n">
        <v>1</v>
      </c>
      <c r="E337" s="8" t="n">
        <v>3</v>
      </c>
      <c r="F337" s="6" t="s">
        <v>48</v>
      </c>
      <c r="G337" s="6" t="n">
        <f aca="false">IF(AND(E337&gt;=3,E337&lt;=20),ROUND(C337*(1-D337)*(1/E337),0),0)</f>
        <v>0</v>
      </c>
      <c r="H337" s="6" t="str">
        <f aca="false">IF(F337="Brand","Brand — already winning",IF(AND(E337&lt;=10,D337&lt;0.02,C337&gt;=200),"Ranks page 1 but no clicks → fix title/meta",IF(AND(E337&gt;10,E337&lt;=20,C337&gt;=200),"Page 2 → deepen content / add article",IF(E337&gt;20,"Weak — needs dedicated page","OK"))))</f>
        <v>OK</v>
      </c>
    </row>
    <row r="338" customFormat="false" ht="15" hidden="false" customHeight="false" outlineLevel="0" collapsed="false">
      <c r="A338" s="6" t="s">
        <v>395</v>
      </c>
      <c r="B338" s="6" t="n">
        <v>1</v>
      </c>
      <c r="C338" s="6" t="n">
        <v>1</v>
      </c>
      <c r="D338" s="7" t="n">
        <v>1</v>
      </c>
      <c r="E338" s="8" t="n">
        <v>3</v>
      </c>
      <c r="F338" s="6" t="s">
        <v>48</v>
      </c>
      <c r="G338" s="6" t="n">
        <f aca="false">IF(AND(E338&gt;=3,E338&lt;=20),ROUND(C338*(1-D338)*(1/E338),0),0)</f>
        <v>0</v>
      </c>
      <c r="H338" s="6" t="str">
        <f aca="false">IF(F338="Brand","Brand — already winning",IF(AND(E338&lt;=10,D338&lt;0.02,C338&gt;=200),"Ranks page 1 but no clicks → fix title/meta",IF(AND(E338&gt;10,E338&lt;=20,C338&gt;=200),"Page 2 → deepen content / add article",IF(E338&gt;20,"Weak — needs dedicated page","OK"))))</f>
        <v>OK</v>
      </c>
    </row>
    <row r="339" customFormat="false" ht="15" hidden="false" customHeight="false" outlineLevel="0" collapsed="false">
      <c r="A339" s="6" t="s">
        <v>396</v>
      </c>
      <c r="B339" s="6" t="n">
        <v>1</v>
      </c>
      <c r="C339" s="6" t="n">
        <v>1</v>
      </c>
      <c r="D339" s="7" t="n">
        <v>1</v>
      </c>
      <c r="E339" s="8" t="n">
        <v>4</v>
      </c>
      <c r="F339" s="6" t="s">
        <v>58</v>
      </c>
      <c r="G339" s="6" t="n">
        <f aca="false">IF(AND(E339&gt;=3,E339&lt;=20),ROUND(C339*(1-D339)*(1/E339),0),0)</f>
        <v>0</v>
      </c>
      <c r="H339" s="6" t="str">
        <f aca="false">IF(F339="Brand","Brand — already winning",IF(AND(E339&lt;=10,D339&lt;0.02,C339&gt;=200),"Ranks page 1 but no clicks → fix title/meta",IF(AND(E339&gt;10,E339&lt;=20,C339&gt;=200),"Page 2 → deepen content / add article",IF(E339&gt;20,"Weak — needs dedicated page","OK"))))</f>
        <v>OK</v>
      </c>
    </row>
    <row r="340" customFormat="false" ht="15" hidden="false" customHeight="false" outlineLevel="0" collapsed="false">
      <c r="A340" s="6" t="s">
        <v>397</v>
      </c>
      <c r="B340" s="6" t="n">
        <v>1</v>
      </c>
      <c r="C340" s="6" t="n">
        <v>1</v>
      </c>
      <c r="D340" s="7" t="n">
        <v>1</v>
      </c>
      <c r="E340" s="8" t="n">
        <v>4</v>
      </c>
      <c r="F340" s="6" t="s">
        <v>78</v>
      </c>
      <c r="G340" s="6" t="n">
        <f aca="false">IF(AND(E340&gt;=3,E340&lt;=20),ROUND(C340*(1-D340)*(1/E340),0),0)</f>
        <v>0</v>
      </c>
      <c r="H340" s="6" t="str">
        <f aca="false">IF(F340="Brand","Brand — already winning",IF(AND(E340&lt;=10,D340&lt;0.02,C340&gt;=200),"Ranks page 1 but no clicks → fix title/meta",IF(AND(E340&gt;10,E340&lt;=20,C340&gt;=200),"Page 2 → deepen content / add article",IF(E340&gt;20,"Weak — needs dedicated page","OK"))))</f>
        <v>OK</v>
      </c>
    </row>
    <row r="341" customFormat="false" ht="15" hidden="false" customHeight="false" outlineLevel="0" collapsed="false">
      <c r="A341" s="6" t="s">
        <v>398</v>
      </c>
      <c r="B341" s="6" t="n">
        <v>1</v>
      </c>
      <c r="C341" s="6" t="n">
        <v>1</v>
      </c>
      <c r="D341" s="7" t="n">
        <v>1</v>
      </c>
      <c r="E341" s="8" t="n">
        <v>4</v>
      </c>
      <c r="F341" s="6" t="s">
        <v>78</v>
      </c>
      <c r="G341" s="6" t="n">
        <f aca="false">IF(AND(E341&gt;=3,E341&lt;=20),ROUND(C341*(1-D341)*(1/E341),0),0)</f>
        <v>0</v>
      </c>
      <c r="H341" s="6" t="str">
        <f aca="false">IF(F341="Brand","Brand — already winning",IF(AND(E341&lt;=10,D341&lt;0.02,C341&gt;=200),"Ranks page 1 but no clicks → fix title/meta",IF(AND(E341&gt;10,E341&lt;=20,C341&gt;=200),"Page 2 → deepen content / add article",IF(E341&gt;20,"Weak — needs dedicated page","OK"))))</f>
        <v>OK</v>
      </c>
    </row>
    <row r="342" customFormat="false" ht="15" hidden="false" customHeight="false" outlineLevel="0" collapsed="false">
      <c r="A342" s="6" t="s">
        <v>399</v>
      </c>
      <c r="B342" s="6" t="n">
        <v>1</v>
      </c>
      <c r="C342" s="6" t="n">
        <v>1</v>
      </c>
      <c r="D342" s="7" t="n">
        <v>1</v>
      </c>
      <c r="E342" s="8" t="n">
        <v>4</v>
      </c>
      <c r="F342" s="6" t="s">
        <v>65</v>
      </c>
      <c r="G342" s="6" t="n">
        <f aca="false">IF(AND(E342&gt;=3,E342&lt;=20),ROUND(C342*(1-D342)*(1/E342),0),0)</f>
        <v>0</v>
      </c>
      <c r="H342" s="6" t="str">
        <f aca="false">IF(F342="Brand","Brand — already winning",IF(AND(E342&lt;=10,D342&lt;0.02,C342&gt;=200),"Ranks page 1 but no clicks → fix title/meta",IF(AND(E342&gt;10,E342&lt;=20,C342&gt;=200),"Page 2 → deepen content / add article",IF(E342&gt;20,"Weak — needs dedicated page","OK"))))</f>
        <v>OK</v>
      </c>
    </row>
    <row r="343" customFormat="false" ht="15" hidden="false" customHeight="false" outlineLevel="0" collapsed="false">
      <c r="A343" s="6" t="s">
        <v>400</v>
      </c>
      <c r="B343" s="6" t="n">
        <v>1</v>
      </c>
      <c r="C343" s="6" t="n">
        <v>1</v>
      </c>
      <c r="D343" s="7" t="n">
        <v>1</v>
      </c>
      <c r="E343" s="8" t="n">
        <v>4</v>
      </c>
      <c r="F343" s="6" t="s">
        <v>78</v>
      </c>
      <c r="G343" s="6" t="n">
        <f aca="false">IF(AND(E343&gt;=3,E343&lt;=20),ROUND(C343*(1-D343)*(1/E343),0),0)</f>
        <v>0</v>
      </c>
      <c r="H343" s="6" t="str">
        <f aca="false">IF(F343="Brand","Brand — already winning",IF(AND(E343&lt;=10,D343&lt;0.02,C343&gt;=200),"Ranks page 1 but no clicks → fix title/meta",IF(AND(E343&gt;10,E343&lt;=20,C343&gt;=200),"Page 2 → deepen content / add article",IF(E343&gt;20,"Weak — needs dedicated page","OK"))))</f>
        <v>OK</v>
      </c>
    </row>
    <row r="344" customFormat="false" ht="15" hidden="false" customHeight="false" outlineLevel="0" collapsed="false">
      <c r="A344" s="6" t="s">
        <v>401</v>
      </c>
      <c r="B344" s="6" t="n">
        <v>1</v>
      </c>
      <c r="C344" s="6" t="n">
        <v>1</v>
      </c>
      <c r="D344" s="7" t="n">
        <v>1</v>
      </c>
      <c r="E344" s="8" t="n">
        <v>5</v>
      </c>
      <c r="F344" s="6" t="s">
        <v>78</v>
      </c>
      <c r="G344" s="6" t="n">
        <f aca="false">IF(AND(E344&gt;=3,E344&lt;=20),ROUND(C344*(1-D344)*(1/E344),0),0)</f>
        <v>0</v>
      </c>
      <c r="H344" s="6" t="str">
        <f aca="false">IF(F344="Brand","Brand — already winning",IF(AND(E344&lt;=10,D344&lt;0.02,C344&gt;=200),"Ranks page 1 but no clicks → fix title/meta",IF(AND(E344&gt;10,E344&lt;=20,C344&gt;=200),"Page 2 → deepen content / add article",IF(E344&gt;20,"Weak — needs dedicated page","OK"))))</f>
        <v>OK</v>
      </c>
    </row>
    <row r="345" customFormat="false" ht="15" hidden="false" customHeight="false" outlineLevel="0" collapsed="false">
      <c r="A345" s="6" t="s">
        <v>402</v>
      </c>
      <c r="B345" s="6" t="n">
        <v>1</v>
      </c>
      <c r="C345" s="6" t="n">
        <v>1</v>
      </c>
      <c r="D345" s="7" t="n">
        <v>1</v>
      </c>
      <c r="E345" s="8" t="n">
        <v>6</v>
      </c>
      <c r="F345" s="6" t="s">
        <v>78</v>
      </c>
      <c r="G345" s="6" t="n">
        <f aca="false">IF(AND(E345&gt;=3,E345&lt;=20),ROUND(C345*(1-D345)*(1/E345),0),0)</f>
        <v>0</v>
      </c>
      <c r="H345" s="6" t="str">
        <f aca="false">IF(F345="Brand","Brand — already winning",IF(AND(E345&lt;=10,D345&lt;0.02,C345&gt;=200),"Ranks page 1 but no clicks → fix title/meta",IF(AND(E345&gt;10,E345&lt;=20,C345&gt;=200),"Page 2 → deepen content / add article",IF(E345&gt;20,"Weak — needs dedicated page","OK"))))</f>
        <v>OK</v>
      </c>
    </row>
    <row r="346" customFormat="false" ht="15" hidden="false" customHeight="false" outlineLevel="0" collapsed="false">
      <c r="A346" s="6" t="s">
        <v>403</v>
      </c>
      <c r="B346" s="6" t="n">
        <v>1</v>
      </c>
      <c r="C346" s="6" t="n">
        <v>1</v>
      </c>
      <c r="D346" s="7" t="n">
        <v>1</v>
      </c>
      <c r="E346" s="8" t="n">
        <v>6</v>
      </c>
      <c r="F346" s="6" t="s">
        <v>78</v>
      </c>
      <c r="G346" s="6" t="n">
        <f aca="false">IF(AND(E346&gt;=3,E346&lt;=20),ROUND(C346*(1-D346)*(1/E346),0),0)</f>
        <v>0</v>
      </c>
      <c r="H346" s="6" t="str">
        <f aca="false">IF(F346="Brand","Brand — already winning",IF(AND(E346&lt;=10,D346&lt;0.02,C346&gt;=200),"Ranks page 1 but no clicks → fix title/meta",IF(AND(E346&gt;10,E346&lt;=20,C346&gt;=200),"Page 2 → deepen content / add article",IF(E346&gt;20,"Weak — needs dedicated page","OK"))))</f>
        <v>OK</v>
      </c>
    </row>
    <row r="347" customFormat="false" ht="15" hidden="false" customHeight="false" outlineLevel="0" collapsed="false">
      <c r="A347" s="6" t="s">
        <v>404</v>
      </c>
      <c r="B347" s="6" t="n">
        <v>1</v>
      </c>
      <c r="C347" s="6" t="n">
        <v>1</v>
      </c>
      <c r="D347" s="7" t="n">
        <v>1</v>
      </c>
      <c r="E347" s="8" t="n">
        <v>7</v>
      </c>
      <c r="F347" s="6" t="s">
        <v>88</v>
      </c>
      <c r="G347" s="6" t="n">
        <f aca="false">IF(AND(E347&gt;=3,E347&lt;=20),ROUND(C347*(1-D347)*(1/E347),0),0)</f>
        <v>0</v>
      </c>
      <c r="H347" s="6" t="str">
        <f aca="false">IF(F347="Brand","Brand — already winning",IF(AND(E347&lt;=10,D347&lt;0.02,C347&gt;=200),"Ranks page 1 but no clicks → fix title/meta",IF(AND(E347&gt;10,E347&lt;=20,C347&gt;=200),"Page 2 → deepen content / add article",IF(E347&gt;20,"Weak — needs dedicated page","OK"))))</f>
        <v>OK</v>
      </c>
    </row>
    <row r="348" customFormat="false" ht="15" hidden="false" customHeight="false" outlineLevel="0" collapsed="false">
      <c r="A348" s="6" t="s">
        <v>405</v>
      </c>
      <c r="B348" s="6" t="n">
        <v>1</v>
      </c>
      <c r="C348" s="6" t="n">
        <v>1</v>
      </c>
      <c r="D348" s="7" t="n">
        <v>1</v>
      </c>
      <c r="E348" s="8" t="n">
        <v>8</v>
      </c>
      <c r="F348" s="6" t="s">
        <v>54</v>
      </c>
      <c r="G348" s="6" t="n">
        <f aca="false">IF(AND(E348&gt;=3,E348&lt;=20),ROUND(C348*(1-D348)*(1/E348),0),0)</f>
        <v>0</v>
      </c>
      <c r="H348" s="6" t="str">
        <f aca="false">IF(F348="Brand","Brand — already winning",IF(AND(E348&lt;=10,D348&lt;0.02,C348&gt;=200),"Ranks page 1 but no clicks → fix title/meta",IF(AND(E348&gt;10,E348&lt;=20,C348&gt;=200),"Page 2 → deepen content / add article",IF(E348&gt;20,"Weak — needs dedicated page","OK"))))</f>
        <v>OK</v>
      </c>
    </row>
    <row r="349" customFormat="false" ht="15" hidden="false" customHeight="false" outlineLevel="0" collapsed="false">
      <c r="A349" s="6" t="s">
        <v>406</v>
      </c>
      <c r="B349" s="6" t="n">
        <v>1</v>
      </c>
      <c r="C349" s="6" t="n">
        <v>1</v>
      </c>
      <c r="D349" s="7" t="n">
        <v>1</v>
      </c>
      <c r="E349" s="8" t="n">
        <v>8</v>
      </c>
      <c r="F349" s="6" t="s">
        <v>54</v>
      </c>
      <c r="G349" s="6" t="n">
        <f aca="false">IF(AND(E349&gt;=3,E349&lt;=20),ROUND(C349*(1-D349)*(1/E349),0),0)</f>
        <v>0</v>
      </c>
      <c r="H349" s="6" t="str">
        <f aca="false">IF(F349="Brand","Brand — already winning",IF(AND(E349&lt;=10,D349&lt;0.02,C349&gt;=200),"Ranks page 1 but no clicks → fix title/meta",IF(AND(E349&gt;10,E349&lt;=20,C349&gt;=200),"Page 2 → deepen content / add article",IF(E349&gt;20,"Weak — needs dedicated page","OK"))))</f>
        <v>OK</v>
      </c>
    </row>
    <row r="350" customFormat="false" ht="15" hidden="false" customHeight="false" outlineLevel="0" collapsed="false">
      <c r="A350" s="6" t="s">
        <v>407</v>
      </c>
      <c r="B350" s="6" t="n">
        <v>1</v>
      </c>
      <c r="C350" s="6" t="n">
        <v>1</v>
      </c>
      <c r="D350" s="7" t="n">
        <v>1</v>
      </c>
      <c r="E350" s="8" t="n">
        <v>8</v>
      </c>
      <c r="F350" s="6" t="s">
        <v>54</v>
      </c>
      <c r="G350" s="6" t="n">
        <f aca="false">IF(AND(E350&gt;=3,E350&lt;=20),ROUND(C350*(1-D350)*(1/E350),0),0)</f>
        <v>0</v>
      </c>
      <c r="H350" s="6" t="str">
        <f aca="false">IF(F350="Brand","Brand — already winning",IF(AND(E350&lt;=10,D350&lt;0.02,C350&gt;=200),"Ranks page 1 but no clicks → fix title/meta",IF(AND(E350&gt;10,E350&lt;=20,C350&gt;=200),"Page 2 → deepen content / add article",IF(E350&gt;20,"Weak — needs dedicated page","OK"))))</f>
        <v>OK</v>
      </c>
    </row>
    <row r="351" customFormat="false" ht="15" hidden="false" customHeight="false" outlineLevel="0" collapsed="false">
      <c r="A351" s="6" t="s">
        <v>408</v>
      </c>
      <c r="B351" s="6" t="n">
        <v>1</v>
      </c>
      <c r="C351" s="6" t="n">
        <v>1</v>
      </c>
      <c r="D351" s="7" t="n">
        <v>1</v>
      </c>
      <c r="E351" s="8" t="n">
        <v>9</v>
      </c>
      <c r="F351" s="6" t="s">
        <v>54</v>
      </c>
      <c r="G351" s="6" t="n">
        <f aca="false">IF(AND(E351&gt;=3,E351&lt;=20),ROUND(C351*(1-D351)*(1/E351),0),0)</f>
        <v>0</v>
      </c>
      <c r="H351" s="6" t="str">
        <f aca="false">IF(F351="Brand","Brand — already winning",IF(AND(E351&lt;=10,D351&lt;0.02,C351&gt;=200),"Ranks page 1 but no clicks → fix title/meta",IF(AND(E351&gt;10,E351&lt;=20,C351&gt;=200),"Page 2 → deepen content / add article",IF(E351&gt;20,"Weak — needs dedicated page","OK"))))</f>
        <v>OK</v>
      </c>
    </row>
    <row r="352" customFormat="false" ht="15" hidden="false" customHeight="false" outlineLevel="0" collapsed="false">
      <c r="A352" s="6" t="s">
        <v>409</v>
      </c>
      <c r="B352" s="6" t="n">
        <v>1</v>
      </c>
      <c r="C352" s="6" t="n">
        <v>1</v>
      </c>
      <c r="D352" s="7" t="n">
        <v>1</v>
      </c>
      <c r="E352" s="8" t="n">
        <v>9</v>
      </c>
      <c r="F352" s="6" t="s">
        <v>63</v>
      </c>
      <c r="G352" s="6" t="n">
        <f aca="false">IF(AND(E352&gt;=3,E352&lt;=20),ROUND(C352*(1-D352)*(1/E352),0),0)</f>
        <v>0</v>
      </c>
      <c r="H352" s="6" t="str">
        <f aca="false">IF(F352="Brand","Brand — already winning",IF(AND(E352&lt;=10,D352&lt;0.02,C352&gt;=200),"Ranks page 1 but no clicks → fix title/meta",IF(AND(E352&gt;10,E352&lt;=20,C352&gt;=200),"Page 2 → deepen content / add article",IF(E352&gt;20,"Weak — needs dedicated page","OK"))))</f>
        <v>OK</v>
      </c>
    </row>
    <row r="353" customFormat="false" ht="15" hidden="false" customHeight="false" outlineLevel="0" collapsed="false">
      <c r="A353" s="6" t="s">
        <v>410</v>
      </c>
      <c r="B353" s="6" t="n">
        <v>1</v>
      </c>
      <c r="C353" s="6" t="n">
        <v>1</v>
      </c>
      <c r="D353" s="7" t="n">
        <v>1</v>
      </c>
      <c r="E353" s="8" t="n">
        <v>9</v>
      </c>
      <c r="F353" s="6" t="s">
        <v>78</v>
      </c>
      <c r="G353" s="6" t="n">
        <f aca="false">IF(AND(E353&gt;=3,E353&lt;=20),ROUND(C353*(1-D353)*(1/E353),0),0)</f>
        <v>0</v>
      </c>
      <c r="H353" s="6" t="str">
        <f aca="false">IF(F353="Brand","Brand — already winning",IF(AND(E353&lt;=10,D353&lt;0.02,C353&gt;=200),"Ranks page 1 but no clicks → fix title/meta",IF(AND(E353&gt;10,E353&lt;=20,C353&gt;=200),"Page 2 → deepen content / add article",IF(E353&gt;20,"Weak — needs dedicated page","OK"))))</f>
        <v>OK</v>
      </c>
    </row>
    <row r="354" customFormat="false" ht="15" hidden="false" customHeight="false" outlineLevel="0" collapsed="false">
      <c r="A354" s="6" t="s">
        <v>411</v>
      </c>
      <c r="B354" s="6" t="n">
        <v>1</v>
      </c>
      <c r="C354" s="6" t="n">
        <v>1</v>
      </c>
      <c r="D354" s="7" t="n">
        <v>1</v>
      </c>
      <c r="E354" s="8" t="n">
        <v>10</v>
      </c>
      <c r="F354" s="6" t="s">
        <v>54</v>
      </c>
      <c r="G354" s="6" t="n">
        <f aca="false">IF(AND(E354&gt;=3,E354&lt;=20),ROUND(C354*(1-D354)*(1/E354),0),0)</f>
        <v>0</v>
      </c>
      <c r="H354" s="6" t="str">
        <f aca="false">IF(F354="Brand","Brand — already winning",IF(AND(E354&lt;=10,D354&lt;0.02,C354&gt;=200),"Ranks page 1 but no clicks → fix title/meta",IF(AND(E354&gt;10,E354&lt;=20,C354&gt;=200),"Page 2 → deepen content / add article",IF(E354&gt;20,"Weak — needs dedicated page","OK"))))</f>
        <v>OK</v>
      </c>
    </row>
    <row r="355" customFormat="false" ht="15" hidden="false" customHeight="false" outlineLevel="0" collapsed="false">
      <c r="A355" s="6" t="s">
        <v>412</v>
      </c>
      <c r="B355" s="6" t="n">
        <v>1</v>
      </c>
      <c r="C355" s="6" t="n">
        <v>1</v>
      </c>
      <c r="D355" s="7" t="n">
        <v>1</v>
      </c>
      <c r="E355" s="8" t="n">
        <v>10</v>
      </c>
      <c r="F355" s="6" t="s">
        <v>71</v>
      </c>
      <c r="G355" s="6" t="n">
        <f aca="false">IF(AND(E355&gt;=3,E355&lt;=20),ROUND(C355*(1-D355)*(1/E355),0),0)</f>
        <v>0</v>
      </c>
      <c r="H355" s="6" t="str">
        <f aca="false">IF(F355="Brand","Brand — already winning",IF(AND(E355&lt;=10,D355&lt;0.02,C355&gt;=200),"Ranks page 1 but no clicks → fix title/meta",IF(AND(E355&gt;10,E355&lt;=20,C355&gt;=200),"Page 2 → deepen content / add article",IF(E355&gt;20,"Weak — needs dedicated page","OK"))))</f>
        <v>OK</v>
      </c>
    </row>
    <row r="356" customFormat="false" ht="15" hidden="false" customHeight="false" outlineLevel="0" collapsed="false">
      <c r="A356" s="6" t="s">
        <v>413</v>
      </c>
      <c r="B356" s="6" t="n">
        <v>1</v>
      </c>
      <c r="C356" s="6" t="n">
        <v>1</v>
      </c>
      <c r="D356" s="7" t="n">
        <v>1</v>
      </c>
      <c r="E356" s="8" t="n">
        <v>11</v>
      </c>
      <c r="F356" s="6" t="s">
        <v>63</v>
      </c>
      <c r="G356" s="6" t="n">
        <f aca="false">IF(AND(E356&gt;=3,E356&lt;=20),ROUND(C356*(1-D356)*(1/E356),0),0)</f>
        <v>0</v>
      </c>
      <c r="H356" s="6" t="str">
        <f aca="false">IF(F356="Brand","Brand — already winning",IF(AND(E356&lt;=10,D356&lt;0.02,C356&gt;=200),"Ranks page 1 but no clicks → fix title/meta",IF(AND(E356&gt;10,E356&lt;=20,C356&gt;=200),"Page 2 → deepen content / add article",IF(E356&gt;20,"Weak — needs dedicated page","OK"))))</f>
        <v>OK</v>
      </c>
    </row>
    <row r="357" customFormat="false" ht="15" hidden="false" customHeight="false" outlineLevel="0" collapsed="false">
      <c r="A357" s="6" t="s">
        <v>414</v>
      </c>
      <c r="B357" s="6" t="n">
        <v>1</v>
      </c>
      <c r="C357" s="6" t="n">
        <v>1</v>
      </c>
      <c r="D357" s="7" t="n">
        <v>1</v>
      </c>
      <c r="E357" s="8" t="n">
        <v>11</v>
      </c>
      <c r="F357" s="6" t="s">
        <v>58</v>
      </c>
      <c r="G357" s="6" t="n">
        <f aca="false">IF(AND(E357&gt;=3,E357&lt;=20),ROUND(C357*(1-D357)*(1/E357),0),0)</f>
        <v>0</v>
      </c>
      <c r="H357" s="6" t="str">
        <f aca="false">IF(F357="Brand","Brand — already winning",IF(AND(E357&lt;=10,D357&lt;0.02,C357&gt;=200),"Ranks page 1 but no clicks → fix title/meta",IF(AND(E357&gt;10,E357&lt;=20,C357&gt;=200),"Page 2 → deepen content / add article",IF(E357&gt;20,"Weak — needs dedicated page","OK"))))</f>
        <v>OK</v>
      </c>
    </row>
    <row r="358" customFormat="false" ht="15" hidden="false" customHeight="false" outlineLevel="0" collapsed="false">
      <c r="A358" s="6" t="s">
        <v>415</v>
      </c>
      <c r="B358" s="6" t="n">
        <v>1</v>
      </c>
      <c r="C358" s="6" t="n">
        <v>1</v>
      </c>
      <c r="D358" s="7" t="n">
        <v>1</v>
      </c>
      <c r="E358" s="8" t="n">
        <v>12</v>
      </c>
      <c r="F358" s="6" t="s">
        <v>68</v>
      </c>
      <c r="G358" s="6" t="n">
        <f aca="false">IF(AND(E358&gt;=3,E358&lt;=20),ROUND(C358*(1-D358)*(1/E358),0),0)</f>
        <v>0</v>
      </c>
      <c r="H358" s="6" t="str">
        <f aca="false">IF(F358="Brand","Brand — already winning",IF(AND(E358&lt;=10,D358&lt;0.02,C358&gt;=200),"Ranks page 1 but no clicks → fix title/meta",IF(AND(E358&gt;10,E358&lt;=20,C358&gt;=200),"Page 2 → deepen content / add article",IF(E358&gt;20,"Weak — needs dedicated page","OK"))))</f>
        <v>OK</v>
      </c>
    </row>
    <row r="359" customFormat="false" ht="15" hidden="false" customHeight="false" outlineLevel="0" collapsed="false">
      <c r="A359" s="6" t="s">
        <v>416</v>
      </c>
      <c r="B359" s="6" t="n">
        <v>1</v>
      </c>
      <c r="C359" s="6" t="n">
        <v>1</v>
      </c>
      <c r="D359" s="7" t="n">
        <v>1</v>
      </c>
      <c r="E359" s="8" t="n">
        <v>13</v>
      </c>
      <c r="F359" s="6" t="s">
        <v>78</v>
      </c>
      <c r="G359" s="6" t="n">
        <f aca="false">IF(AND(E359&gt;=3,E359&lt;=20),ROUND(C359*(1-D359)*(1/E359),0),0)</f>
        <v>0</v>
      </c>
      <c r="H359" s="6" t="str">
        <f aca="false">IF(F359="Brand","Brand — already winning",IF(AND(E359&lt;=10,D359&lt;0.02,C359&gt;=200),"Ranks page 1 but no clicks → fix title/meta",IF(AND(E359&gt;10,E359&lt;=20,C359&gt;=200),"Page 2 → deepen content / add article",IF(E359&gt;20,"Weak — needs dedicated page","OK"))))</f>
        <v>OK</v>
      </c>
    </row>
    <row r="360" customFormat="false" ht="15" hidden="false" customHeight="false" outlineLevel="0" collapsed="false">
      <c r="A360" s="6" t="s">
        <v>417</v>
      </c>
      <c r="B360" s="6" t="n">
        <v>1</v>
      </c>
      <c r="C360" s="6" t="n">
        <v>1</v>
      </c>
      <c r="D360" s="7" t="n">
        <v>1</v>
      </c>
      <c r="E360" s="8" t="n">
        <v>15</v>
      </c>
      <c r="F360" s="6" t="s">
        <v>78</v>
      </c>
      <c r="G360" s="6" t="n">
        <f aca="false">IF(AND(E360&gt;=3,E360&lt;=20),ROUND(C360*(1-D360)*(1/E360),0),0)</f>
        <v>0</v>
      </c>
      <c r="H360" s="6" t="str">
        <f aca="false">IF(F360="Brand","Brand — already winning",IF(AND(E360&lt;=10,D360&lt;0.02,C360&gt;=200),"Ranks page 1 but no clicks → fix title/meta",IF(AND(E360&gt;10,E360&lt;=20,C360&gt;=200),"Page 2 → deepen content / add article",IF(E360&gt;20,"Weak — needs dedicated page","OK"))))</f>
        <v>OK</v>
      </c>
    </row>
    <row r="361" customFormat="false" ht="15" hidden="false" customHeight="false" outlineLevel="0" collapsed="false">
      <c r="A361" s="6" t="s">
        <v>418</v>
      </c>
      <c r="B361" s="6" t="n">
        <v>1</v>
      </c>
      <c r="C361" s="6" t="n">
        <v>1</v>
      </c>
      <c r="D361" s="7" t="n">
        <v>1</v>
      </c>
      <c r="E361" s="8" t="n">
        <v>18</v>
      </c>
      <c r="F361" s="6" t="s">
        <v>78</v>
      </c>
      <c r="G361" s="6" t="n">
        <f aca="false">IF(AND(E361&gt;=3,E361&lt;=20),ROUND(C361*(1-D361)*(1/E361),0),0)</f>
        <v>0</v>
      </c>
      <c r="H361" s="6" t="str">
        <f aca="false">IF(F361="Brand","Brand — already winning",IF(AND(E361&lt;=10,D361&lt;0.02,C361&gt;=200),"Ranks page 1 but no clicks → fix title/meta",IF(AND(E361&gt;10,E361&lt;=20,C361&gt;=200),"Page 2 → deepen content / add article",IF(E361&gt;20,"Weak — needs dedicated page","OK"))))</f>
        <v>OK</v>
      </c>
    </row>
    <row r="362" customFormat="false" ht="15" hidden="false" customHeight="false" outlineLevel="0" collapsed="false">
      <c r="A362" s="6" t="s">
        <v>419</v>
      </c>
      <c r="B362" s="6" t="n">
        <v>1</v>
      </c>
      <c r="C362" s="6" t="n">
        <v>1</v>
      </c>
      <c r="D362" s="7" t="n">
        <v>1</v>
      </c>
      <c r="E362" s="8" t="n">
        <v>22</v>
      </c>
      <c r="F362" s="6" t="s">
        <v>68</v>
      </c>
      <c r="G362" s="6" t="n">
        <f aca="false">IF(AND(E362&gt;=3,E362&lt;=20),ROUND(C362*(1-D362)*(1/E362),0),0)</f>
        <v>0</v>
      </c>
      <c r="H362" s="6" t="str">
        <f aca="false">IF(F362="Brand","Brand — already winning",IF(AND(E362&lt;=10,D362&lt;0.02,C362&gt;=200),"Ranks page 1 but no clicks → fix title/meta",IF(AND(E362&gt;10,E362&lt;=20,C362&gt;=200),"Page 2 → deepen content / add article",IF(E362&gt;20,"Weak — needs dedicated page","OK"))))</f>
        <v>Weak — needs dedicated page</v>
      </c>
    </row>
    <row r="363" customFormat="false" ht="15" hidden="false" customHeight="false" outlineLevel="0" collapsed="false">
      <c r="A363" s="6" t="s">
        <v>420</v>
      </c>
      <c r="B363" s="6" t="n">
        <v>1</v>
      </c>
      <c r="C363" s="6" t="n">
        <v>1</v>
      </c>
      <c r="D363" s="7" t="n">
        <v>1</v>
      </c>
      <c r="E363" s="8" t="n">
        <v>23</v>
      </c>
      <c r="F363" s="6" t="s">
        <v>78</v>
      </c>
      <c r="G363" s="6" t="n">
        <f aca="false">IF(AND(E363&gt;=3,E363&lt;=20),ROUND(C363*(1-D363)*(1/E363),0),0)</f>
        <v>0</v>
      </c>
      <c r="H363" s="6" t="str">
        <f aca="false">IF(F363="Brand","Brand — already winning",IF(AND(E363&lt;=10,D363&lt;0.02,C363&gt;=200),"Ranks page 1 but no clicks → fix title/meta",IF(AND(E363&gt;10,E363&lt;=20,C363&gt;=200),"Page 2 → deepen content / add article",IF(E363&gt;20,"Weak — needs dedicated page","OK"))))</f>
        <v>Weak — needs dedicated page</v>
      </c>
    </row>
    <row r="364" customFormat="false" ht="15" hidden="false" customHeight="false" outlineLevel="0" collapsed="false">
      <c r="A364" s="6" t="s">
        <v>421</v>
      </c>
      <c r="B364" s="6" t="n">
        <v>1</v>
      </c>
      <c r="C364" s="6" t="n">
        <v>1</v>
      </c>
      <c r="D364" s="7" t="n">
        <v>1</v>
      </c>
      <c r="E364" s="8" t="n">
        <v>23</v>
      </c>
      <c r="F364" s="6" t="s">
        <v>54</v>
      </c>
      <c r="G364" s="6" t="n">
        <f aca="false">IF(AND(E364&gt;=3,E364&lt;=20),ROUND(C364*(1-D364)*(1/E364),0),0)</f>
        <v>0</v>
      </c>
      <c r="H364" s="6" t="str">
        <f aca="false">IF(F364="Brand","Brand — already winning",IF(AND(E364&lt;=10,D364&lt;0.02,C364&gt;=200),"Ranks page 1 but no clicks → fix title/meta",IF(AND(E364&gt;10,E364&lt;=20,C364&gt;=200),"Page 2 → deepen content / add article",IF(E364&gt;20,"Weak — needs dedicated page","OK"))))</f>
        <v>Weak — needs dedicated page</v>
      </c>
    </row>
    <row r="365" customFormat="false" ht="15" hidden="false" customHeight="false" outlineLevel="0" collapsed="false">
      <c r="A365" s="6" t="s">
        <v>422</v>
      </c>
      <c r="B365" s="6" t="n">
        <v>0</v>
      </c>
      <c r="C365" s="6" t="n">
        <v>6111</v>
      </c>
      <c r="D365" s="7" t="n">
        <v>0</v>
      </c>
      <c r="E365" s="8" t="n">
        <v>4.89</v>
      </c>
      <c r="F365" s="6" t="s">
        <v>90</v>
      </c>
      <c r="G365" s="6" t="n">
        <f aca="false">IF(AND(E365&gt;=3,E365&lt;=20),ROUND(C365*(1-D365)*(1/E365),0),0)</f>
        <v>1250</v>
      </c>
      <c r="H365" s="6" t="str">
        <f aca="false">IF(F365="Brand","Brand — already winning",IF(AND(E365&lt;=10,D365&lt;0.02,C365&gt;=200),"Ranks page 1 but no clicks → fix title/meta",IF(AND(E365&gt;10,E365&lt;=20,C365&gt;=200),"Page 2 → deepen content / add article",IF(E365&gt;20,"Weak — needs dedicated page","OK"))))</f>
        <v>Ranks page 1 but no clicks → fix title/meta</v>
      </c>
    </row>
    <row r="366" customFormat="false" ht="15" hidden="false" customHeight="false" outlineLevel="0" collapsed="false">
      <c r="A366" s="6" t="s">
        <v>423</v>
      </c>
      <c r="B366" s="6" t="n">
        <v>0</v>
      </c>
      <c r="C366" s="6" t="n">
        <v>1904</v>
      </c>
      <c r="D366" s="7" t="n">
        <v>0</v>
      </c>
      <c r="E366" s="8" t="n">
        <v>7.55</v>
      </c>
      <c r="F366" s="6" t="s">
        <v>90</v>
      </c>
      <c r="G366" s="6" t="n">
        <f aca="false">IF(AND(E366&gt;=3,E366&lt;=20),ROUND(C366*(1-D366)*(1/E366),0),0)</f>
        <v>252</v>
      </c>
      <c r="H366" s="6" t="str">
        <f aca="false">IF(F366="Brand","Brand — already winning",IF(AND(E366&lt;=10,D366&lt;0.02,C366&gt;=200),"Ranks page 1 but no clicks → fix title/meta",IF(AND(E366&gt;10,E366&lt;=20,C366&gt;=200),"Page 2 → deepen content / add article",IF(E366&gt;20,"Weak — needs dedicated page","OK"))))</f>
        <v>Ranks page 1 but no clicks → fix title/meta</v>
      </c>
    </row>
    <row r="367" customFormat="false" ht="15" hidden="false" customHeight="false" outlineLevel="0" collapsed="false">
      <c r="A367" s="6" t="s">
        <v>424</v>
      </c>
      <c r="B367" s="6" t="n">
        <v>0</v>
      </c>
      <c r="C367" s="6" t="n">
        <v>1584</v>
      </c>
      <c r="D367" s="7" t="n">
        <v>0</v>
      </c>
      <c r="E367" s="8" t="n">
        <v>4.97</v>
      </c>
      <c r="F367" s="6" t="s">
        <v>90</v>
      </c>
      <c r="G367" s="6" t="n">
        <f aca="false">IF(AND(E367&gt;=3,E367&lt;=20),ROUND(C367*(1-D367)*(1/E367),0),0)</f>
        <v>319</v>
      </c>
      <c r="H367" s="6" t="str">
        <f aca="false">IF(F367="Brand","Brand — already winning",IF(AND(E367&lt;=10,D367&lt;0.02,C367&gt;=200),"Ranks page 1 but no clicks → fix title/meta",IF(AND(E367&gt;10,E367&lt;=20,C367&gt;=200),"Page 2 → deepen content / add article",IF(E367&gt;20,"Weak — needs dedicated page","OK"))))</f>
        <v>Ranks page 1 but no clicks → fix title/meta</v>
      </c>
    </row>
    <row r="368" customFormat="false" ht="15" hidden="false" customHeight="false" outlineLevel="0" collapsed="false">
      <c r="A368" s="6" t="s">
        <v>425</v>
      </c>
      <c r="B368" s="6" t="n">
        <v>0</v>
      </c>
      <c r="C368" s="6" t="n">
        <v>1122</v>
      </c>
      <c r="D368" s="7" t="n">
        <v>0</v>
      </c>
      <c r="E368" s="8" t="n">
        <v>6.16</v>
      </c>
      <c r="F368" s="6" t="s">
        <v>90</v>
      </c>
      <c r="G368" s="6" t="n">
        <f aca="false">IF(AND(E368&gt;=3,E368&lt;=20),ROUND(C368*(1-D368)*(1/E368),0),0)</f>
        <v>182</v>
      </c>
      <c r="H368" s="6" t="str">
        <f aca="false">IF(F368="Brand","Brand — already winning",IF(AND(E368&lt;=10,D368&lt;0.02,C368&gt;=200),"Ranks page 1 but no clicks → fix title/meta",IF(AND(E368&gt;10,E368&lt;=20,C368&gt;=200),"Page 2 → deepen content / add article",IF(E368&gt;20,"Weak — needs dedicated page","OK"))))</f>
        <v>Ranks page 1 but no clicks → fix title/meta</v>
      </c>
    </row>
    <row r="369" customFormat="false" ht="15" hidden="false" customHeight="false" outlineLevel="0" collapsed="false">
      <c r="A369" s="6" t="s">
        <v>426</v>
      </c>
      <c r="B369" s="6" t="n">
        <v>0</v>
      </c>
      <c r="C369" s="6" t="n">
        <v>977</v>
      </c>
      <c r="D369" s="7" t="n">
        <v>0</v>
      </c>
      <c r="E369" s="8" t="n">
        <v>57.69</v>
      </c>
      <c r="F369" s="6" t="s">
        <v>58</v>
      </c>
      <c r="G369" s="6" t="n">
        <f aca="false">IF(AND(E369&gt;=3,E369&lt;=20),ROUND(C369*(1-D369)*(1/E369),0),0)</f>
        <v>0</v>
      </c>
      <c r="H369" s="6" t="str">
        <f aca="false">IF(F369="Brand","Brand — already winning",IF(AND(E369&lt;=10,D369&lt;0.02,C369&gt;=200),"Ranks page 1 but no clicks → fix title/meta",IF(AND(E369&gt;10,E369&lt;=20,C369&gt;=200),"Page 2 → deepen content / add article",IF(E369&gt;20,"Weak — needs dedicated page","OK"))))</f>
        <v>Weak — needs dedicated page</v>
      </c>
    </row>
    <row r="370" customFormat="false" ht="15" hidden="false" customHeight="false" outlineLevel="0" collapsed="false">
      <c r="A370" s="6" t="s">
        <v>427</v>
      </c>
      <c r="B370" s="6" t="n">
        <v>0</v>
      </c>
      <c r="C370" s="6" t="n">
        <v>956</v>
      </c>
      <c r="D370" s="7" t="n">
        <v>0</v>
      </c>
      <c r="E370" s="8" t="n">
        <v>7.97</v>
      </c>
      <c r="F370" s="6" t="s">
        <v>90</v>
      </c>
      <c r="G370" s="6" t="n">
        <f aca="false">IF(AND(E370&gt;=3,E370&lt;=20),ROUND(C370*(1-D370)*(1/E370),0),0)</f>
        <v>120</v>
      </c>
      <c r="H370" s="6" t="str">
        <f aca="false">IF(F370="Brand","Brand — already winning",IF(AND(E370&lt;=10,D370&lt;0.02,C370&gt;=200),"Ranks page 1 but no clicks → fix title/meta",IF(AND(E370&gt;10,E370&lt;=20,C370&gt;=200),"Page 2 → deepen content / add article",IF(E370&gt;20,"Weak — needs dedicated page","OK"))))</f>
        <v>Ranks page 1 but no clicks → fix title/meta</v>
      </c>
    </row>
    <row r="371" customFormat="false" ht="15" hidden="false" customHeight="false" outlineLevel="0" collapsed="false">
      <c r="A371" s="6" t="s">
        <v>428</v>
      </c>
      <c r="B371" s="6" t="n">
        <v>0</v>
      </c>
      <c r="C371" s="6" t="n">
        <v>699</v>
      </c>
      <c r="D371" s="7" t="n">
        <v>0</v>
      </c>
      <c r="E371" s="8" t="n">
        <v>3.95</v>
      </c>
      <c r="F371" s="6" t="s">
        <v>90</v>
      </c>
      <c r="G371" s="6" t="n">
        <f aca="false">IF(AND(E371&gt;=3,E371&lt;=20),ROUND(C371*(1-D371)*(1/E371),0),0)</f>
        <v>177</v>
      </c>
      <c r="H371" s="6" t="str">
        <f aca="false">IF(F371="Brand","Brand — already winning",IF(AND(E371&lt;=10,D371&lt;0.02,C371&gt;=200),"Ranks page 1 but no clicks → fix title/meta",IF(AND(E371&gt;10,E371&lt;=20,C371&gt;=200),"Page 2 → deepen content / add article",IF(E371&gt;20,"Weak — needs dedicated page","OK"))))</f>
        <v>Ranks page 1 but no clicks → fix title/meta</v>
      </c>
    </row>
    <row r="372" customFormat="false" ht="15" hidden="false" customHeight="false" outlineLevel="0" collapsed="false">
      <c r="A372" s="6" t="s">
        <v>429</v>
      </c>
      <c r="B372" s="6" t="n">
        <v>0</v>
      </c>
      <c r="C372" s="6" t="n">
        <v>668</v>
      </c>
      <c r="D372" s="7" t="n">
        <v>0</v>
      </c>
      <c r="E372" s="8" t="n">
        <v>11.08</v>
      </c>
      <c r="F372" s="6" t="s">
        <v>48</v>
      </c>
      <c r="G372" s="6" t="n">
        <f aca="false">IF(AND(E372&gt;=3,E372&lt;=20),ROUND(C372*(1-D372)*(1/E372),0),0)</f>
        <v>60</v>
      </c>
      <c r="H372" s="6" t="str">
        <f aca="false">IF(F372="Brand","Brand — already winning",IF(AND(E372&lt;=10,D372&lt;0.02,C372&gt;=200),"Ranks page 1 but no clicks → fix title/meta",IF(AND(E372&gt;10,E372&lt;=20,C372&gt;=200),"Page 2 → deepen content / add article",IF(E372&gt;20,"Weak — needs dedicated page","OK"))))</f>
        <v>Page 2 → deepen content / add article</v>
      </c>
    </row>
    <row r="373" customFormat="false" ht="15" hidden="false" customHeight="false" outlineLevel="0" collapsed="false">
      <c r="A373" s="6" t="s">
        <v>430</v>
      </c>
      <c r="B373" s="6" t="n">
        <v>0</v>
      </c>
      <c r="C373" s="6" t="n">
        <v>520</v>
      </c>
      <c r="D373" s="7" t="n">
        <v>0</v>
      </c>
      <c r="E373" s="8" t="n">
        <v>4.22</v>
      </c>
      <c r="F373" s="6" t="s">
        <v>90</v>
      </c>
      <c r="G373" s="6" t="n">
        <f aca="false">IF(AND(E373&gt;=3,E373&lt;=20),ROUND(C373*(1-D373)*(1/E373),0),0)</f>
        <v>123</v>
      </c>
      <c r="H373" s="6" t="str">
        <f aca="false">IF(F373="Brand","Brand — already winning",IF(AND(E373&lt;=10,D373&lt;0.02,C373&gt;=200),"Ranks page 1 but no clicks → fix title/meta",IF(AND(E373&gt;10,E373&lt;=20,C373&gt;=200),"Page 2 → deepen content / add article",IF(E373&gt;20,"Weak — needs dedicated page","OK"))))</f>
        <v>Ranks page 1 but no clicks → fix title/meta</v>
      </c>
    </row>
    <row r="374" customFormat="false" ht="15" hidden="false" customHeight="false" outlineLevel="0" collapsed="false">
      <c r="A374" s="6" t="s">
        <v>431</v>
      </c>
      <c r="B374" s="6" t="n">
        <v>0</v>
      </c>
      <c r="C374" s="6" t="n">
        <v>508</v>
      </c>
      <c r="D374" s="7" t="n">
        <v>0</v>
      </c>
      <c r="E374" s="8" t="n">
        <v>16.67</v>
      </c>
      <c r="F374" s="6" t="s">
        <v>48</v>
      </c>
      <c r="G374" s="6" t="n">
        <f aca="false">IF(AND(E374&gt;=3,E374&lt;=20),ROUND(C374*(1-D374)*(1/E374),0),0)</f>
        <v>30</v>
      </c>
      <c r="H374" s="6" t="str">
        <f aca="false">IF(F374="Brand","Brand — already winning",IF(AND(E374&lt;=10,D374&lt;0.02,C374&gt;=200),"Ranks page 1 but no clicks → fix title/meta",IF(AND(E374&gt;10,E374&lt;=20,C374&gt;=200),"Page 2 → deepen content / add article",IF(E374&gt;20,"Weak — needs dedicated page","OK"))))</f>
        <v>Page 2 → deepen content / add article</v>
      </c>
    </row>
    <row r="375" customFormat="false" ht="15" hidden="false" customHeight="false" outlineLevel="0" collapsed="false">
      <c r="A375" s="6" t="s">
        <v>432</v>
      </c>
      <c r="B375" s="6" t="n">
        <v>0</v>
      </c>
      <c r="C375" s="6" t="n">
        <v>495</v>
      </c>
      <c r="D375" s="7" t="n">
        <v>0</v>
      </c>
      <c r="E375" s="8" t="n">
        <v>24.18</v>
      </c>
      <c r="F375" s="6" t="s">
        <v>48</v>
      </c>
      <c r="G375" s="6" t="n">
        <f aca="false">IF(AND(E375&gt;=3,E375&lt;=20),ROUND(C375*(1-D375)*(1/E375),0),0)</f>
        <v>0</v>
      </c>
      <c r="H375" s="6" t="str">
        <f aca="false">IF(F375="Brand","Brand — already winning",IF(AND(E375&lt;=10,D375&lt;0.02,C375&gt;=200),"Ranks page 1 but no clicks → fix title/meta",IF(AND(E375&gt;10,E375&lt;=20,C375&gt;=200),"Page 2 → deepen content / add article",IF(E375&gt;20,"Weak — needs dedicated page","OK"))))</f>
        <v>Weak — needs dedicated page</v>
      </c>
    </row>
    <row r="376" customFormat="false" ht="15" hidden="false" customHeight="false" outlineLevel="0" collapsed="false">
      <c r="A376" s="6" t="s">
        <v>433</v>
      </c>
      <c r="B376" s="6" t="n">
        <v>0</v>
      </c>
      <c r="C376" s="6" t="n">
        <v>483</v>
      </c>
      <c r="D376" s="7" t="n">
        <v>0</v>
      </c>
      <c r="E376" s="8" t="n">
        <v>4.66</v>
      </c>
      <c r="F376" s="6" t="s">
        <v>90</v>
      </c>
      <c r="G376" s="6" t="n">
        <f aca="false">IF(AND(E376&gt;=3,E376&lt;=20),ROUND(C376*(1-D376)*(1/E376),0),0)</f>
        <v>104</v>
      </c>
      <c r="H376" s="6" t="str">
        <f aca="false">IF(F376="Brand","Brand — already winning",IF(AND(E376&lt;=10,D376&lt;0.02,C376&gt;=200),"Ranks page 1 but no clicks → fix title/meta",IF(AND(E376&gt;10,E376&lt;=20,C376&gt;=200),"Page 2 → deepen content / add article",IF(E376&gt;20,"Weak — needs dedicated page","OK"))))</f>
        <v>Ranks page 1 but no clicks → fix title/meta</v>
      </c>
    </row>
    <row r="377" customFormat="false" ht="15" hidden="false" customHeight="false" outlineLevel="0" collapsed="false">
      <c r="A377" s="6" t="s">
        <v>434</v>
      </c>
      <c r="B377" s="6" t="n">
        <v>0</v>
      </c>
      <c r="C377" s="6" t="n">
        <v>467</v>
      </c>
      <c r="D377" s="7" t="n">
        <v>0</v>
      </c>
      <c r="E377" s="8" t="n">
        <v>4.74</v>
      </c>
      <c r="F377" s="6" t="s">
        <v>90</v>
      </c>
      <c r="G377" s="6" t="n">
        <f aca="false">IF(AND(E377&gt;=3,E377&lt;=20),ROUND(C377*(1-D377)*(1/E377),0),0)</f>
        <v>99</v>
      </c>
      <c r="H377" s="6" t="str">
        <f aca="false">IF(F377="Brand","Brand — already winning",IF(AND(E377&lt;=10,D377&lt;0.02,C377&gt;=200),"Ranks page 1 but no clicks → fix title/meta",IF(AND(E377&gt;10,E377&lt;=20,C377&gt;=200),"Page 2 → deepen content / add article",IF(E377&gt;20,"Weak — needs dedicated page","OK"))))</f>
        <v>Ranks page 1 but no clicks → fix title/meta</v>
      </c>
    </row>
    <row r="378" customFormat="false" ht="15" hidden="false" customHeight="false" outlineLevel="0" collapsed="false">
      <c r="A378" s="6" t="s">
        <v>435</v>
      </c>
      <c r="B378" s="6" t="n">
        <v>0</v>
      </c>
      <c r="C378" s="6" t="n">
        <v>416</v>
      </c>
      <c r="D378" s="7" t="n">
        <v>0</v>
      </c>
      <c r="E378" s="8" t="n">
        <v>3.43</v>
      </c>
      <c r="F378" s="6" t="s">
        <v>90</v>
      </c>
      <c r="G378" s="6" t="n">
        <f aca="false">IF(AND(E378&gt;=3,E378&lt;=20),ROUND(C378*(1-D378)*(1/E378),0),0)</f>
        <v>121</v>
      </c>
      <c r="H378" s="6" t="str">
        <f aca="false">IF(F378="Brand","Brand — already winning",IF(AND(E378&lt;=10,D378&lt;0.02,C378&gt;=200),"Ranks page 1 but no clicks → fix title/meta",IF(AND(E378&gt;10,E378&lt;=20,C378&gt;=200),"Page 2 → deepen content / add article",IF(E378&gt;20,"Weak — needs dedicated page","OK"))))</f>
        <v>Ranks page 1 but no clicks → fix title/meta</v>
      </c>
    </row>
    <row r="379" customFormat="false" ht="15" hidden="false" customHeight="false" outlineLevel="0" collapsed="false">
      <c r="A379" s="6" t="s">
        <v>436</v>
      </c>
      <c r="B379" s="6" t="n">
        <v>0</v>
      </c>
      <c r="C379" s="6" t="n">
        <v>412</v>
      </c>
      <c r="D379" s="7" t="n">
        <v>0</v>
      </c>
      <c r="E379" s="8" t="n">
        <v>5.55</v>
      </c>
      <c r="F379" s="6" t="s">
        <v>90</v>
      </c>
      <c r="G379" s="6" t="n">
        <f aca="false">IF(AND(E379&gt;=3,E379&lt;=20),ROUND(C379*(1-D379)*(1/E379),0),0)</f>
        <v>74</v>
      </c>
      <c r="H379" s="6" t="str">
        <f aca="false">IF(F379="Brand","Brand — already winning",IF(AND(E379&lt;=10,D379&lt;0.02,C379&gt;=200),"Ranks page 1 but no clicks → fix title/meta",IF(AND(E379&gt;10,E379&lt;=20,C379&gt;=200),"Page 2 → deepen content / add article",IF(E379&gt;20,"Weak — needs dedicated page","OK"))))</f>
        <v>Ranks page 1 but no clicks → fix title/meta</v>
      </c>
    </row>
    <row r="380" customFormat="false" ht="15" hidden="false" customHeight="false" outlineLevel="0" collapsed="false">
      <c r="A380" s="6" t="s">
        <v>437</v>
      </c>
      <c r="B380" s="6" t="n">
        <v>0</v>
      </c>
      <c r="C380" s="6" t="n">
        <v>396</v>
      </c>
      <c r="D380" s="7" t="n">
        <v>0</v>
      </c>
      <c r="E380" s="8" t="n">
        <v>7.92</v>
      </c>
      <c r="F380" s="6" t="s">
        <v>90</v>
      </c>
      <c r="G380" s="6" t="n">
        <f aca="false">IF(AND(E380&gt;=3,E380&lt;=20),ROUND(C380*(1-D380)*(1/E380),0),0)</f>
        <v>50</v>
      </c>
      <c r="H380" s="6" t="str">
        <f aca="false">IF(F380="Brand","Brand — already winning",IF(AND(E380&lt;=10,D380&lt;0.02,C380&gt;=200),"Ranks page 1 but no clicks → fix title/meta",IF(AND(E380&gt;10,E380&lt;=20,C380&gt;=200),"Page 2 → deepen content / add article",IF(E380&gt;20,"Weak — needs dedicated page","OK"))))</f>
        <v>Ranks page 1 but no clicks → fix title/meta</v>
      </c>
    </row>
    <row r="381" customFormat="false" ht="15" hidden="false" customHeight="false" outlineLevel="0" collapsed="false">
      <c r="A381" s="6" t="s">
        <v>438</v>
      </c>
      <c r="B381" s="6" t="n">
        <v>0</v>
      </c>
      <c r="C381" s="6" t="n">
        <v>393</v>
      </c>
      <c r="D381" s="7" t="n">
        <v>0</v>
      </c>
      <c r="E381" s="8" t="n">
        <v>10.8</v>
      </c>
      <c r="F381" s="6" t="s">
        <v>48</v>
      </c>
      <c r="G381" s="6" t="n">
        <f aca="false">IF(AND(E381&gt;=3,E381&lt;=20),ROUND(C381*(1-D381)*(1/E381),0),0)</f>
        <v>36</v>
      </c>
      <c r="H381" s="6" t="str">
        <f aca="false">IF(F381="Brand","Brand — already winning",IF(AND(E381&lt;=10,D381&lt;0.02,C381&gt;=200),"Ranks page 1 but no clicks → fix title/meta",IF(AND(E381&gt;10,E381&lt;=20,C381&gt;=200),"Page 2 → deepen content / add article",IF(E381&gt;20,"Weak — needs dedicated page","OK"))))</f>
        <v>Page 2 → deepen content / add article</v>
      </c>
    </row>
    <row r="382" customFormat="false" ht="15" hidden="false" customHeight="false" outlineLevel="0" collapsed="false">
      <c r="A382" s="6" t="s">
        <v>439</v>
      </c>
      <c r="B382" s="6" t="n">
        <v>0</v>
      </c>
      <c r="C382" s="6" t="n">
        <v>388</v>
      </c>
      <c r="D382" s="7" t="n">
        <v>0</v>
      </c>
      <c r="E382" s="8" t="n">
        <v>3.03</v>
      </c>
      <c r="F382" s="6" t="s">
        <v>90</v>
      </c>
      <c r="G382" s="6" t="n">
        <f aca="false">IF(AND(E382&gt;=3,E382&lt;=20),ROUND(C382*(1-D382)*(1/E382),0),0)</f>
        <v>128</v>
      </c>
      <c r="H382" s="6" t="str">
        <f aca="false">IF(F382="Brand","Brand — already winning",IF(AND(E382&lt;=10,D382&lt;0.02,C382&gt;=200),"Ranks page 1 but no clicks → fix title/meta",IF(AND(E382&gt;10,E382&lt;=20,C382&gt;=200),"Page 2 → deepen content / add article",IF(E382&gt;20,"Weak — needs dedicated page","OK"))))</f>
        <v>Ranks page 1 but no clicks → fix title/meta</v>
      </c>
    </row>
    <row r="383" customFormat="false" ht="15" hidden="false" customHeight="false" outlineLevel="0" collapsed="false">
      <c r="A383" s="6" t="s">
        <v>440</v>
      </c>
      <c r="B383" s="6" t="n">
        <v>0</v>
      </c>
      <c r="C383" s="6" t="n">
        <v>382</v>
      </c>
      <c r="D383" s="7" t="n">
        <v>0</v>
      </c>
      <c r="E383" s="8" t="n">
        <v>3.07</v>
      </c>
      <c r="F383" s="6" t="s">
        <v>48</v>
      </c>
      <c r="G383" s="6" t="n">
        <f aca="false">IF(AND(E383&gt;=3,E383&lt;=20),ROUND(C383*(1-D383)*(1/E383),0),0)</f>
        <v>124</v>
      </c>
      <c r="H383" s="6" t="str">
        <f aca="false">IF(F383="Brand","Brand — already winning",IF(AND(E383&lt;=10,D383&lt;0.02,C383&gt;=200),"Ranks page 1 but no clicks → fix title/meta",IF(AND(E383&gt;10,E383&lt;=20,C383&gt;=200),"Page 2 → deepen content / add article",IF(E383&gt;20,"Weak — needs dedicated page","OK"))))</f>
        <v>Ranks page 1 but no clicks → fix title/meta</v>
      </c>
    </row>
    <row r="384" customFormat="false" ht="15" hidden="false" customHeight="false" outlineLevel="0" collapsed="false">
      <c r="A384" s="6" t="s">
        <v>441</v>
      </c>
      <c r="B384" s="6" t="n">
        <v>0</v>
      </c>
      <c r="C384" s="6" t="n">
        <v>367</v>
      </c>
      <c r="D384" s="7" t="n">
        <v>0</v>
      </c>
      <c r="E384" s="8" t="n">
        <v>6.14</v>
      </c>
      <c r="F384" s="6" t="s">
        <v>90</v>
      </c>
      <c r="G384" s="6" t="n">
        <f aca="false">IF(AND(E384&gt;=3,E384&lt;=20),ROUND(C384*(1-D384)*(1/E384),0),0)</f>
        <v>60</v>
      </c>
      <c r="H384" s="6" t="str">
        <f aca="false">IF(F384="Brand","Brand — already winning",IF(AND(E384&lt;=10,D384&lt;0.02,C384&gt;=200),"Ranks page 1 but no clicks → fix title/meta",IF(AND(E384&gt;10,E384&lt;=20,C384&gt;=200),"Page 2 → deepen content / add article",IF(E384&gt;20,"Weak — needs dedicated page","OK"))))</f>
        <v>Ranks page 1 but no clicks → fix title/meta</v>
      </c>
    </row>
    <row r="385" customFormat="false" ht="15" hidden="false" customHeight="false" outlineLevel="0" collapsed="false">
      <c r="A385" s="6" t="s">
        <v>442</v>
      </c>
      <c r="B385" s="6" t="n">
        <v>0</v>
      </c>
      <c r="C385" s="6" t="n">
        <v>360</v>
      </c>
      <c r="D385" s="7" t="n">
        <v>0</v>
      </c>
      <c r="E385" s="8" t="n">
        <v>11.4</v>
      </c>
      <c r="F385" s="6" t="s">
        <v>198</v>
      </c>
      <c r="G385" s="6" t="n">
        <f aca="false">IF(AND(E385&gt;=3,E385&lt;=20),ROUND(C385*(1-D385)*(1/E385),0),0)</f>
        <v>32</v>
      </c>
      <c r="H385" s="6" t="str">
        <f aca="false">IF(F385="Brand","Brand — already winning",IF(AND(E385&lt;=10,D385&lt;0.02,C385&gt;=200),"Ranks page 1 but no clicks → fix title/meta",IF(AND(E385&gt;10,E385&lt;=20,C385&gt;=200),"Page 2 → deepen content / add article",IF(E385&gt;20,"Weak — needs dedicated page","OK"))))</f>
        <v>Page 2 → deepen content / add article</v>
      </c>
    </row>
    <row r="386" customFormat="false" ht="15" hidden="false" customHeight="false" outlineLevel="0" collapsed="false">
      <c r="A386" s="6" t="s">
        <v>443</v>
      </c>
      <c r="B386" s="6" t="n">
        <v>0</v>
      </c>
      <c r="C386" s="6" t="n">
        <v>359</v>
      </c>
      <c r="D386" s="7" t="n">
        <v>0</v>
      </c>
      <c r="E386" s="8" t="n">
        <v>13.49</v>
      </c>
      <c r="F386" s="6" t="s">
        <v>48</v>
      </c>
      <c r="G386" s="6" t="n">
        <f aca="false">IF(AND(E386&gt;=3,E386&lt;=20),ROUND(C386*(1-D386)*(1/E386),0),0)</f>
        <v>27</v>
      </c>
      <c r="H386" s="6" t="str">
        <f aca="false">IF(F386="Brand","Brand — already winning",IF(AND(E386&lt;=10,D386&lt;0.02,C386&gt;=200),"Ranks page 1 but no clicks → fix title/meta",IF(AND(E386&gt;10,E386&lt;=20,C386&gt;=200),"Page 2 → deepen content / add article",IF(E386&gt;20,"Weak — needs dedicated page","OK"))))</f>
        <v>Page 2 → deepen content / add article</v>
      </c>
    </row>
    <row r="387" customFormat="false" ht="15" hidden="false" customHeight="false" outlineLevel="0" collapsed="false">
      <c r="A387" s="6" t="s">
        <v>444</v>
      </c>
      <c r="B387" s="6" t="n">
        <v>0</v>
      </c>
      <c r="C387" s="6" t="n">
        <v>359</v>
      </c>
      <c r="D387" s="7" t="n">
        <v>0</v>
      </c>
      <c r="E387" s="8" t="n">
        <v>55.1</v>
      </c>
      <c r="F387" s="6" t="s">
        <v>58</v>
      </c>
      <c r="G387" s="6" t="n">
        <f aca="false">IF(AND(E387&gt;=3,E387&lt;=20),ROUND(C387*(1-D387)*(1/E387),0),0)</f>
        <v>0</v>
      </c>
      <c r="H387" s="6" t="str">
        <f aca="false">IF(F387="Brand","Brand — already winning",IF(AND(E387&lt;=10,D387&lt;0.02,C387&gt;=200),"Ranks page 1 but no clicks → fix title/meta",IF(AND(E387&gt;10,E387&lt;=20,C387&gt;=200),"Page 2 → deepen content / add article",IF(E387&gt;20,"Weak — needs dedicated page","OK"))))</f>
        <v>Weak — needs dedicated page</v>
      </c>
    </row>
    <row r="388" customFormat="false" ht="15" hidden="false" customHeight="false" outlineLevel="0" collapsed="false">
      <c r="A388" s="6" t="s">
        <v>445</v>
      </c>
      <c r="B388" s="6" t="n">
        <v>0</v>
      </c>
      <c r="C388" s="6" t="n">
        <v>329</v>
      </c>
      <c r="D388" s="7" t="n">
        <v>0</v>
      </c>
      <c r="E388" s="8" t="n">
        <v>5.81</v>
      </c>
      <c r="F388" s="6" t="s">
        <v>48</v>
      </c>
      <c r="G388" s="6" t="n">
        <f aca="false">IF(AND(E388&gt;=3,E388&lt;=20),ROUND(C388*(1-D388)*(1/E388),0),0)</f>
        <v>57</v>
      </c>
      <c r="H388" s="6" t="str">
        <f aca="false">IF(F388="Brand","Brand — already winning",IF(AND(E388&lt;=10,D388&lt;0.02,C388&gt;=200),"Ranks page 1 but no clicks → fix title/meta",IF(AND(E388&gt;10,E388&lt;=20,C388&gt;=200),"Page 2 → deepen content / add article",IF(E388&gt;20,"Weak — needs dedicated page","OK"))))</f>
        <v>Ranks page 1 but no clicks → fix title/meta</v>
      </c>
    </row>
    <row r="389" customFormat="false" ht="15" hidden="false" customHeight="false" outlineLevel="0" collapsed="false">
      <c r="A389" s="6" t="s">
        <v>446</v>
      </c>
      <c r="B389" s="6" t="n">
        <v>0</v>
      </c>
      <c r="C389" s="6" t="n">
        <v>312</v>
      </c>
      <c r="D389" s="7" t="n">
        <v>0</v>
      </c>
      <c r="E389" s="8" t="n">
        <v>4.77</v>
      </c>
      <c r="F389" s="6" t="s">
        <v>56</v>
      </c>
      <c r="G389" s="6" t="n">
        <f aca="false">IF(AND(E389&gt;=3,E389&lt;=20),ROUND(C389*(1-D389)*(1/E389),0),0)</f>
        <v>65</v>
      </c>
      <c r="H389" s="6" t="str">
        <f aca="false">IF(F389="Brand","Brand — already winning",IF(AND(E389&lt;=10,D389&lt;0.02,C389&gt;=200),"Ranks page 1 but no clicks → fix title/meta",IF(AND(E389&gt;10,E389&lt;=20,C389&gt;=200),"Page 2 → deepen content / add article",IF(E389&gt;20,"Weak — needs dedicated page","OK"))))</f>
        <v>Ranks page 1 but no clicks → fix title/meta</v>
      </c>
    </row>
    <row r="390" customFormat="false" ht="15" hidden="false" customHeight="false" outlineLevel="0" collapsed="false">
      <c r="A390" s="6" t="s">
        <v>447</v>
      </c>
      <c r="B390" s="6" t="n">
        <v>0</v>
      </c>
      <c r="C390" s="6" t="n">
        <v>312</v>
      </c>
      <c r="D390" s="7" t="n">
        <v>0</v>
      </c>
      <c r="E390" s="8" t="n">
        <v>8.87</v>
      </c>
      <c r="F390" s="6" t="s">
        <v>90</v>
      </c>
      <c r="G390" s="6" t="n">
        <f aca="false">IF(AND(E390&gt;=3,E390&lt;=20),ROUND(C390*(1-D390)*(1/E390),0),0)</f>
        <v>35</v>
      </c>
      <c r="H390" s="6" t="str">
        <f aca="false">IF(F390="Brand","Brand — already winning",IF(AND(E390&lt;=10,D390&lt;0.02,C390&gt;=200),"Ranks page 1 but no clicks → fix title/meta",IF(AND(E390&gt;10,E390&lt;=20,C390&gt;=200),"Page 2 → deepen content / add article",IF(E390&gt;20,"Weak — needs dedicated page","OK"))))</f>
        <v>Ranks page 1 but no clicks → fix title/meta</v>
      </c>
    </row>
    <row r="391" customFormat="false" ht="15" hidden="false" customHeight="false" outlineLevel="0" collapsed="false">
      <c r="A391" s="6" t="s">
        <v>448</v>
      </c>
      <c r="B391" s="6" t="n">
        <v>0</v>
      </c>
      <c r="C391" s="6" t="n">
        <v>304</v>
      </c>
      <c r="D391" s="7" t="n">
        <v>0</v>
      </c>
      <c r="E391" s="8" t="n">
        <v>31.26</v>
      </c>
      <c r="F391" s="6" t="s">
        <v>48</v>
      </c>
      <c r="G391" s="6" t="n">
        <f aca="false">IF(AND(E391&gt;=3,E391&lt;=20),ROUND(C391*(1-D391)*(1/E391),0),0)</f>
        <v>0</v>
      </c>
      <c r="H391" s="6" t="str">
        <f aca="false">IF(F391="Brand","Brand — already winning",IF(AND(E391&lt;=10,D391&lt;0.02,C391&gt;=200),"Ranks page 1 but no clicks → fix title/meta",IF(AND(E391&gt;10,E391&lt;=20,C391&gt;=200),"Page 2 → deepen content / add article",IF(E391&gt;20,"Weak — needs dedicated page","OK"))))</f>
        <v>Weak — needs dedicated page</v>
      </c>
    </row>
    <row r="392" customFormat="false" ht="15" hidden="false" customHeight="false" outlineLevel="0" collapsed="false">
      <c r="A392" s="6" t="s">
        <v>449</v>
      </c>
      <c r="B392" s="6" t="n">
        <v>0</v>
      </c>
      <c r="C392" s="6" t="n">
        <v>299</v>
      </c>
      <c r="D392" s="7" t="n">
        <v>0</v>
      </c>
      <c r="E392" s="8" t="n">
        <v>3.51</v>
      </c>
      <c r="F392" s="6" t="s">
        <v>90</v>
      </c>
      <c r="G392" s="6" t="n">
        <f aca="false">IF(AND(E392&gt;=3,E392&lt;=20),ROUND(C392*(1-D392)*(1/E392),0),0)</f>
        <v>85</v>
      </c>
      <c r="H392" s="6" t="str">
        <f aca="false">IF(F392="Brand","Brand — already winning",IF(AND(E392&lt;=10,D392&lt;0.02,C392&gt;=200),"Ranks page 1 but no clicks → fix title/meta",IF(AND(E392&gt;10,E392&lt;=20,C392&gt;=200),"Page 2 → deepen content / add article",IF(E392&gt;20,"Weak — needs dedicated page","OK"))))</f>
        <v>Ranks page 1 but no clicks → fix title/meta</v>
      </c>
    </row>
    <row r="393" customFormat="false" ht="15" hidden="false" customHeight="false" outlineLevel="0" collapsed="false">
      <c r="A393" s="6" t="s">
        <v>450</v>
      </c>
      <c r="B393" s="6" t="n">
        <v>0</v>
      </c>
      <c r="C393" s="6" t="n">
        <v>281</v>
      </c>
      <c r="D393" s="7" t="n">
        <v>0</v>
      </c>
      <c r="E393" s="8" t="n">
        <v>8.67</v>
      </c>
      <c r="F393" s="6" t="s">
        <v>48</v>
      </c>
      <c r="G393" s="6" t="n">
        <f aca="false">IF(AND(E393&gt;=3,E393&lt;=20),ROUND(C393*(1-D393)*(1/E393),0),0)</f>
        <v>32</v>
      </c>
      <c r="H393" s="6" t="str">
        <f aca="false">IF(F393="Brand","Brand — already winning",IF(AND(E393&lt;=10,D393&lt;0.02,C393&gt;=200),"Ranks page 1 but no clicks → fix title/meta",IF(AND(E393&gt;10,E393&lt;=20,C393&gt;=200),"Page 2 → deepen content / add article",IF(E393&gt;20,"Weak — needs dedicated page","OK"))))</f>
        <v>Ranks page 1 but no clicks → fix title/meta</v>
      </c>
    </row>
    <row r="394" customFormat="false" ht="15" hidden="false" customHeight="false" outlineLevel="0" collapsed="false">
      <c r="A394" s="6" t="s">
        <v>451</v>
      </c>
      <c r="B394" s="6" t="n">
        <v>0</v>
      </c>
      <c r="C394" s="6" t="n">
        <v>277</v>
      </c>
      <c r="D394" s="7" t="n">
        <v>0</v>
      </c>
      <c r="E394" s="8" t="n">
        <v>4.86</v>
      </c>
      <c r="F394" s="6" t="s">
        <v>90</v>
      </c>
      <c r="G394" s="6" t="n">
        <f aca="false">IF(AND(E394&gt;=3,E394&lt;=20),ROUND(C394*(1-D394)*(1/E394),0),0)</f>
        <v>57</v>
      </c>
      <c r="H394" s="6" t="str">
        <f aca="false">IF(F394="Brand","Brand — already winning",IF(AND(E394&lt;=10,D394&lt;0.02,C394&gt;=200),"Ranks page 1 but no clicks → fix title/meta",IF(AND(E394&gt;10,E394&lt;=20,C394&gt;=200),"Page 2 → deepen content / add article",IF(E394&gt;20,"Weak — needs dedicated page","OK"))))</f>
        <v>Ranks page 1 but no clicks → fix title/meta</v>
      </c>
    </row>
    <row r="395" customFormat="false" ht="15" hidden="false" customHeight="false" outlineLevel="0" collapsed="false">
      <c r="A395" s="6" t="s">
        <v>452</v>
      </c>
      <c r="B395" s="6" t="n">
        <v>0</v>
      </c>
      <c r="C395" s="6" t="n">
        <v>277</v>
      </c>
      <c r="D395" s="7" t="n">
        <v>0</v>
      </c>
      <c r="E395" s="8" t="n">
        <v>10.11</v>
      </c>
      <c r="F395" s="6" t="s">
        <v>48</v>
      </c>
      <c r="G395" s="6" t="n">
        <f aca="false">IF(AND(E395&gt;=3,E395&lt;=20),ROUND(C395*(1-D395)*(1/E395),0),0)</f>
        <v>27</v>
      </c>
      <c r="H395" s="6" t="str">
        <f aca="false">IF(F395="Brand","Brand — already winning",IF(AND(E395&lt;=10,D395&lt;0.02,C395&gt;=200),"Ranks page 1 but no clicks → fix title/meta",IF(AND(E395&gt;10,E395&lt;=20,C395&gt;=200),"Page 2 → deepen content / add article",IF(E395&gt;20,"Weak — needs dedicated page","OK"))))</f>
        <v>Page 2 → deepen content / add article</v>
      </c>
    </row>
    <row r="396" customFormat="false" ht="15" hidden="false" customHeight="false" outlineLevel="0" collapsed="false">
      <c r="A396" s="6" t="s">
        <v>453</v>
      </c>
      <c r="B396" s="6" t="n">
        <v>0</v>
      </c>
      <c r="C396" s="6" t="n">
        <v>270</v>
      </c>
      <c r="D396" s="7" t="n">
        <v>0</v>
      </c>
      <c r="E396" s="8" t="n">
        <v>10.42</v>
      </c>
      <c r="F396" s="6" t="s">
        <v>58</v>
      </c>
      <c r="G396" s="6" t="n">
        <f aca="false">IF(AND(E396&gt;=3,E396&lt;=20),ROUND(C396*(1-D396)*(1/E396),0),0)</f>
        <v>26</v>
      </c>
      <c r="H396" s="6" t="str">
        <f aca="false">IF(F396="Brand","Brand — already winning",IF(AND(E396&lt;=10,D396&lt;0.02,C396&gt;=200),"Ranks page 1 but no clicks → fix title/meta",IF(AND(E396&gt;10,E396&lt;=20,C396&gt;=200),"Page 2 → deepen content / add article",IF(E396&gt;20,"Weak — needs dedicated page","OK"))))</f>
        <v>Page 2 → deepen content / add article</v>
      </c>
    </row>
    <row r="397" customFormat="false" ht="15" hidden="false" customHeight="false" outlineLevel="0" collapsed="false">
      <c r="A397" s="6" t="s">
        <v>454</v>
      </c>
      <c r="B397" s="6" t="n">
        <v>0</v>
      </c>
      <c r="C397" s="6" t="n">
        <v>268</v>
      </c>
      <c r="D397" s="7" t="n">
        <v>0</v>
      </c>
      <c r="E397" s="8" t="n">
        <v>4.82</v>
      </c>
      <c r="F397" s="6" t="s">
        <v>90</v>
      </c>
      <c r="G397" s="6" t="n">
        <f aca="false">IF(AND(E397&gt;=3,E397&lt;=20),ROUND(C397*(1-D397)*(1/E397),0),0)</f>
        <v>56</v>
      </c>
      <c r="H397" s="6" t="str">
        <f aca="false">IF(F397="Brand","Brand — already winning",IF(AND(E397&lt;=10,D397&lt;0.02,C397&gt;=200),"Ranks page 1 but no clicks → fix title/meta",IF(AND(E397&gt;10,E397&lt;=20,C397&gt;=200),"Page 2 → deepen content / add article",IF(E397&gt;20,"Weak — needs dedicated page","OK"))))</f>
        <v>Ranks page 1 but no clicks → fix title/meta</v>
      </c>
    </row>
    <row r="398" customFormat="false" ht="15" hidden="false" customHeight="false" outlineLevel="0" collapsed="false">
      <c r="A398" s="6" t="s">
        <v>455</v>
      </c>
      <c r="B398" s="6" t="n">
        <v>0</v>
      </c>
      <c r="C398" s="6" t="n">
        <v>262</v>
      </c>
      <c r="D398" s="7" t="n">
        <v>0</v>
      </c>
      <c r="E398" s="8" t="n">
        <v>16.41</v>
      </c>
      <c r="F398" s="6" t="s">
        <v>48</v>
      </c>
      <c r="G398" s="6" t="n">
        <f aca="false">IF(AND(E398&gt;=3,E398&lt;=20),ROUND(C398*(1-D398)*(1/E398),0),0)</f>
        <v>16</v>
      </c>
      <c r="H398" s="6" t="str">
        <f aca="false">IF(F398="Brand","Brand — already winning",IF(AND(E398&lt;=10,D398&lt;0.02,C398&gt;=200),"Ranks page 1 but no clicks → fix title/meta",IF(AND(E398&gt;10,E398&lt;=20,C398&gt;=200),"Page 2 → deepen content / add article",IF(E398&gt;20,"Weak — needs dedicated page","OK"))))</f>
        <v>Page 2 → deepen content / add article</v>
      </c>
    </row>
    <row r="399" customFormat="false" ht="15" hidden="false" customHeight="false" outlineLevel="0" collapsed="false">
      <c r="A399" s="6" t="s">
        <v>456</v>
      </c>
      <c r="B399" s="6" t="n">
        <v>0</v>
      </c>
      <c r="C399" s="6" t="n">
        <v>260</v>
      </c>
      <c r="D399" s="7" t="n">
        <v>0</v>
      </c>
      <c r="E399" s="8" t="n">
        <v>6.89</v>
      </c>
      <c r="F399" s="6" t="s">
        <v>90</v>
      </c>
      <c r="G399" s="6" t="n">
        <f aca="false">IF(AND(E399&gt;=3,E399&lt;=20),ROUND(C399*(1-D399)*(1/E399),0),0)</f>
        <v>38</v>
      </c>
      <c r="H399" s="6" t="str">
        <f aca="false">IF(F399="Brand","Brand — already winning",IF(AND(E399&lt;=10,D399&lt;0.02,C399&gt;=200),"Ranks page 1 but no clicks → fix title/meta",IF(AND(E399&gt;10,E399&lt;=20,C399&gt;=200),"Page 2 → deepen content / add article",IF(E399&gt;20,"Weak — needs dedicated page","OK"))))</f>
        <v>Ranks page 1 but no clicks → fix title/meta</v>
      </c>
    </row>
    <row r="400" customFormat="false" ht="15" hidden="false" customHeight="false" outlineLevel="0" collapsed="false">
      <c r="A400" s="6" t="s">
        <v>457</v>
      </c>
      <c r="B400" s="6" t="n">
        <v>0</v>
      </c>
      <c r="C400" s="6" t="n">
        <v>260</v>
      </c>
      <c r="D400" s="7" t="n">
        <v>0</v>
      </c>
      <c r="E400" s="8" t="n">
        <v>12.96</v>
      </c>
      <c r="F400" s="6" t="s">
        <v>48</v>
      </c>
      <c r="G400" s="6" t="n">
        <f aca="false">IF(AND(E400&gt;=3,E400&lt;=20),ROUND(C400*(1-D400)*(1/E400),0),0)</f>
        <v>20</v>
      </c>
      <c r="H400" s="6" t="str">
        <f aca="false">IF(F400="Brand","Brand — already winning",IF(AND(E400&lt;=10,D400&lt;0.02,C400&gt;=200),"Ranks page 1 but no clicks → fix title/meta",IF(AND(E400&gt;10,E400&lt;=20,C400&gt;=200),"Page 2 → deepen content / add article",IF(E400&gt;20,"Weak — needs dedicated page","OK"))))</f>
        <v>Page 2 → deepen content / add article</v>
      </c>
    </row>
    <row r="401" customFormat="false" ht="15" hidden="false" customHeight="false" outlineLevel="0" collapsed="false">
      <c r="A401" s="6" t="s">
        <v>458</v>
      </c>
      <c r="B401" s="6" t="n">
        <v>0</v>
      </c>
      <c r="C401" s="6" t="n">
        <v>247</v>
      </c>
      <c r="D401" s="7" t="n">
        <v>0</v>
      </c>
      <c r="E401" s="8" t="n">
        <v>26.7</v>
      </c>
      <c r="F401" s="6" t="s">
        <v>56</v>
      </c>
      <c r="G401" s="6" t="n">
        <f aca="false">IF(AND(E401&gt;=3,E401&lt;=20),ROUND(C401*(1-D401)*(1/E401),0),0)</f>
        <v>0</v>
      </c>
      <c r="H401" s="6" t="str">
        <f aca="false">IF(F401="Brand","Brand — already winning",IF(AND(E401&lt;=10,D401&lt;0.02,C401&gt;=200),"Ranks page 1 but no clicks → fix title/meta",IF(AND(E401&gt;10,E401&lt;=20,C401&gt;=200),"Page 2 → deepen content / add article",IF(E401&gt;20,"Weak — needs dedicated page","OK"))))</f>
        <v>Weak — needs dedicated page</v>
      </c>
    </row>
    <row r="402" customFormat="false" ht="15" hidden="false" customHeight="false" outlineLevel="0" collapsed="false">
      <c r="A402" s="6" t="s">
        <v>459</v>
      </c>
      <c r="B402" s="6" t="n">
        <v>0</v>
      </c>
      <c r="C402" s="6" t="n">
        <v>240</v>
      </c>
      <c r="D402" s="7" t="n">
        <v>0</v>
      </c>
      <c r="E402" s="8" t="n">
        <v>21.48</v>
      </c>
      <c r="F402" s="6" t="s">
        <v>90</v>
      </c>
      <c r="G402" s="6" t="n">
        <f aca="false">IF(AND(E402&gt;=3,E402&lt;=20),ROUND(C402*(1-D402)*(1/E402),0),0)</f>
        <v>0</v>
      </c>
      <c r="H402" s="6" t="str">
        <f aca="false">IF(F402="Brand","Brand — already winning",IF(AND(E402&lt;=10,D402&lt;0.02,C402&gt;=200),"Ranks page 1 but no clicks → fix title/meta",IF(AND(E402&gt;10,E402&lt;=20,C402&gt;=200),"Page 2 → deepen content / add article",IF(E402&gt;20,"Weak — needs dedicated page","OK"))))</f>
        <v>Weak — needs dedicated page</v>
      </c>
    </row>
    <row r="403" customFormat="false" ht="15" hidden="false" customHeight="false" outlineLevel="0" collapsed="false">
      <c r="A403" s="6" t="s">
        <v>460</v>
      </c>
      <c r="B403" s="6" t="n">
        <v>0</v>
      </c>
      <c r="C403" s="6" t="n">
        <v>239</v>
      </c>
      <c r="D403" s="7" t="n">
        <v>0</v>
      </c>
      <c r="E403" s="8" t="n">
        <v>4.28</v>
      </c>
      <c r="F403" s="6" t="s">
        <v>90</v>
      </c>
      <c r="G403" s="6" t="n">
        <f aca="false">IF(AND(E403&gt;=3,E403&lt;=20),ROUND(C403*(1-D403)*(1/E403),0),0)</f>
        <v>56</v>
      </c>
      <c r="H403" s="6" t="str">
        <f aca="false">IF(F403="Brand","Brand — already winning",IF(AND(E403&lt;=10,D403&lt;0.02,C403&gt;=200),"Ranks page 1 but no clicks → fix title/meta",IF(AND(E403&gt;10,E403&lt;=20,C403&gt;=200),"Page 2 → deepen content / add article",IF(E403&gt;20,"Weak — needs dedicated page","OK"))))</f>
        <v>Ranks page 1 but no clicks → fix title/meta</v>
      </c>
    </row>
    <row r="404" customFormat="false" ht="15" hidden="false" customHeight="false" outlineLevel="0" collapsed="false">
      <c r="A404" s="6" t="s">
        <v>461</v>
      </c>
      <c r="B404" s="6" t="n">
        <v>0</v>
      </c>
      <c r="C404" s="6" t="n">
        <v>234</v>
      </c>
      <c r="D404" s="7" t="n">
        <v>0</v>
      </c>
      <c r="E404" s="8" t="n">
        <v>6.82</v>
      </c>
      <c r="F404" s="6" t="s">
        <v>90</v>
      </c>
      <c r="G404" s="6" t="n">
        <f aca="false">IF(AND(E404&gt;=3,E404&lt;=20),ROUND(C404*(1-D404)*(1/E404),0),0)</f>
        <v>34</v>
      </c>
      <c r="H404" s="6" t="str">
        <f aca="false">IF(F404="Brand","Brand — already winning",IF(AND(E404&lt;=10,D404&lt;0.02,C404&gt;=200),"Ranks page 1 but no clicks → fix title/meta",IF(AND(E404&gt;10,E404&lt;=20,C404&gt;=200),"Page 2 → deepen content / add article",IF(E404&gt;20,"Weak — needs dedicated page","OK"))))</f>
        <v>Ranks page 1 but no clicks → fix title/meta</v>
      </c>
    </row>
    <row r="405" customFormat="false" ht="15" hidden="false" customHeight="false" outlineLevel="0" collapsed="false">
      <c r="A405" s="6" t="s">
        <v>462</v>
      </c>
      <c r="B405" s="6" t="n">
        <v>0</v>
      </c>
      <c r="C405" s="6" t="n">
        <v>234</v>
      </c>
      <c r="D405" s="7" t="n">
        <v>0</v>
      </c>
      <c r="E405" s="8" t="n">
        <v>46.39</v>
      </c>
      <c r="F405" s="6" t="s">
        <v>58</v>
      </c>
      <c r="G405" s="6" t="n">
        <f aca="false">IF(AND(E405&gt;=3,E405&lt;=20),ROUND(C405*(1-D405)*(1/E405),0),0)</f>
        <v>0</v>
      </c>
      <c r="H405" s="6" t="str">
        <f aca="false">IF(F405="Brand","Brand — already winning",IF(AND(E405&lt;=10,D405&lt;0.02,C405&gt;=200),"Ranks page 1 but no clicks → fix title/meta",IF(AND(E405&gt;10,E405&lt;=20,C405&gt;=200),"Page 2 → deepen content / add article",IF(E405&gt;20,"Weak — needs dedicated page","OK"))))</f>
        <v>Weak — needs dedicated page</v>
      </c>
    </row>
    <row r="406" customFormat="false" ht="15" hidden="false" customHeight="false" outlineLevel="0" collapsed="false">
      <c r="A406" s="6" t="s">
        <v>463</v>
      </c>
      <c r="B406" s="6" t="n">
        <v>0</v>
      </c>
      <c r="C406" s="6" t="n">
        <v>233</v>
      </c>
      <c r="D406" s="7" t="n">
        <v>0</v>
      </c>
      <c r="E406" s="8" t="n">
        <v>4.85</v>
      </c>
      <c r="F406" s="6" t="s">
        <v>90</v>
      </c>
      <c r="G406" s="6" t="n">
        <f aca="false">IF(AND(E406&gt;=3,E406&lt;=20),ROUND(C406*(1-D406)*(1/E406),0),0)</f>
        <v>48</v>
      </c>
      <c r="H406" s="6" t="str">
        <f aca="false">IF(F406="Brand","Brand — already winning",IF(AND(E406&lt;=10,D406&lt;0.02,C406&gt;=200),"Ranks page 1 but no clicks → fix title/meta",IF(AND(E406&gt;10,E406&lt;=20,C406&gt;=200),"Page 2 → deepen content / add article",IF(E406&gt;20,"Weak — needs dedicated page","OK"))))</f>
        <v>Ranks page 1 but no clicks → fix title/meta</v>
      </c>
    </row>
    <row r="407" customFormat="false" ht="15" hidden="false" customHeight="false" outlineLevel="0" collapsed="false">
      <c r="A407" s="6" t="s">
        <v>464</v>
      </c>
      <c r="B407" s="6" t="n">
        <v>0</v>
      </c>
      <c r="C407" s="6" t="n">
        <v>231</v>
      </c>
      <c r="D407" s="7" t="n">
        <v>0</v>
      </c>
      <c r="E407" s="8" t="n">
        <v>27</v>
      </c>
      <c r="F407" s="6" t="s">
        <v>63</v>
      </c>
      <c r="G407" s="6" t="n">
        <f aca="false">IF(AND(E407&gt;=3,E407&lt;=20),ROUND(C407*(1-D407)*(1/E407),0),0)</f>
        <v>0</v>
      </c>
      <c r="H407" s="6" t="str">
        <f aca="false">IF(F407="Brand","Brand — already winning",IF(AND(E407&lt;=10,D407&lt;0.02,C407&gt;=200),"Ranks page 1 but no clicks → fix title/meta",IF(AND(E407&gt;10,E407&lt;=20,C407&gt;=200),"Page 2 → deepen content / add article",IF(E407&gt;20,"Weak — needs dedicated page","OK"))))</f>
        <v>Weak — needs dedicated page</v>
      </c>
    </row>
    <row r="408" customFormat="false" ht="15" hidden="false" customHeight="false" outlineLevel="0" collapsed="false">
      <c r="A408" s="6" t="s">
        <v>465</v>
      </c>
      <c r="B408" s="6" t="n">
        <v>0</v>
      </c>
      <c r="C408" s="6" t="n">
        <v>225</v>
      </c>
      <c r="D408" s="7" t="n">
        <v>0</v>
      </c>
      <c r="E408" s="8" t="n">
        <v>11.55</v>
      </c>
      <c r="F408" s="6" t="s">
        <v>48</v>
      </c>
      <c r="G408" s="6" t="n">
        <f aca="false">IF(AND(E408&gt;=3,E408&lt;=20),ROUND(C408*(1-D408)*(1/E408),0),0)</f>
        <v>19</v>
      </c>
      <c r="H408" s="6" t="str">
        <f aca="false">IF(F408="Brand","Brand — already winning",IF(AND(E408&lt;=10,D408&lt;0.02,C408&gt;=200),"Ranks page 1 but no clicks → fix title/meta",IF(AND(E408&gt;10,E408&lt;=20,C408&gt;=200),"Page 2 → deepen content / add article",IF(E408&gt;20,"Weak — needs dedicated page","OK"))))</f>
        <v>Page 2 → deepen content / add article</v>
      </c>
    </row>
    <row r="409" customFormat="false" ht="15" hidden="false" customHeight="false" outlineLevel="0" collapsed="false">
      <c r="A409" s="6" t="s">
        <v>466</v>
      </c>
      <c r="B409" s="6" t="n">
        <v>0</v>
      </c>
      <c r="C409" s="6" t="n">
        <v>224</v>
      </c>
      <c r="D409" s="7" t="n">
        <v>0</v>
      </c>
      <c r="E409" s="8" t="n">
        <v>27.53</v>
      </c>
      <c r="F409" s="6" t="s">
        <v>99</v>
      </c>
      <c r="G409" s="6" t="n">
        <f aca="false">IF(AND(E409&gt;=3,E409&lt;=20),ROUND(C409*(1-D409)*(1/E409),0),0)</f>
        <v>0</v>
      </c>
      <c r="H409" s="6" t="str">
        <f aca="false">IF(F409="Brand","Brand — already winning",IF(AND(E409&lt;=10,D409&lt;0.02,C409&gt;=200),"Ranks page 1 but no clicks → fix title/meta",IF(AND(E409&gt;10,E409&lt;=20,C409&gt;=200),"Page 2 → deepen content / add article",IF(E409&gt;20,"Weak — needs dedicated page","OK"))))</f>
        <v>Weak — needs dedicated page</v>
      </c>
    </row>
    <row r="410" customFormat="false" ht="15" hidden="false" customHeight="false" outlineLevel="0" collapsed="false">
      <c r="A410" s="6" t="s">
        <v>467</v>
      </c>
      <c r="B410" s="6" t="n">
        <v>0</v>
      </c>
      <c r="C410" s="6" t="n">
        <v>223</v>
      </c>
      <c r="D410" s="7" t="n">
        <v>0</v>
      </c>
      <c r="E410" s="8" t="n">
        <v>56.8</v>
      </c>
      <c r="F410" s="6" t="s">
        <v>68</v>
      </c>
      <c r="G410" s="6" t="n">
        <f aca="false">IF(AND(E410&gt;=3,E410&lt;=20),ROUND(C410*(1-D410)*(1/E410),0),0)</f>
        <v>0</v>
      </c>
      <c r="H410" s="6" t="str">
        <f aca="false">IF(F410="Brand","Brand — already winning",IF(AND(E410&lt;=10,D410&lt;0.02,C410&gt;=200),"Ranks page 1 but no clicks → fix title/meta",IF(AND(E410&gt;10,E410&lt;=20,C410&gt;=200),"Page 2 → deepen content / add article",IF(E410&gt;20,"Weak — needs dedicated page","OK"))))</f>
        <v>Weak — needs dedicated page</v>
      </c>
    </row>
    <row r="411" customFormat="false" ht="15" hidden="false" customHeight="false" outlineLevel="0" collapsed="false">
      <c r="A411" s="6" t="s">
        <v>468</v>
      </c>
      <c r="B411" s="6" t="n">
        <v>0</v>
      </c>
      <c r="C411" s="6" t="n">
        <v>216</v>
      </c>
      <c r="D411" s="7" t="n">
        <v>0</v>
      </c>
      <c r="E411" s="8" t="n">
        <v>4.14</v>
      </c>
      <c r="F411" s="6" t="s">
        <v>56</v>
      </c>
      <c r="G411" s="6" t="n">
        <f aca="false">IF(AND(E411&gt;=3,E411&lt;=20),ROUND(C411*(1-D411)*(1/E411),0),0)</f>
        <v>52</v>
      </c>
      <c r="H411" s="6" t="str">
        <f aca="false">IF(F411="Brand","Brand — already winning",IF(AND(E411&lt;=10,D411&lt;0.02,C411&gt;=200),"Ranks page 1 but no clicks → fix title/meta",IF(AND(E411&gt;10,E411&lt;=20,C411&gt;=200),"Page 2 → deepen content / add article",IF(E411&gt;20,"Weak — needs dedicated page","OK"))))</f>
        <v>Ranks page 1 but no clicks → fix title/meta</v>
      </c>
    </row>
    <row r="412" customFormat="false" ht="15" hidden="false" customHeight="false" outlineLevel="0" collapsed="false">
      <c r="A412" s="6" t="s">
        <v>469</v>
      </c>
      <c r="B412" s="6" t="n">
        <v>0</v>
      </c>
      <c r="C412" s="6" t="n">
        <v>212</v>
      </c>
      <c r="D412" s="7" t="n">
        <v>0</v>
      </c>
      <c r="E412" s="8" t="n">
        <v>10.58</v>
      </c>
      <c r="F412" s="6" t="s">
        <v>48</v>
      </c>
      <c r="G412" s="6" t="n">
        <f aca="false">IF(AND(E412&gt;=3,E412&lt;=20),ROUND(C412*(1-D412)*(1/E412),0),0)</f>
        <v>20</v>
      </c>
      <c r="H412" s="6" t="str">
        <f aca="false">IF(F412="Brand","Brand — already winning",IF(AND(E412&lt;=10,D412&lt;0.02,C412&gt;=200),"Ranks page 1 but no clicks → fix title/meta",IF(AND(E412&gt;10,E412&lt;=20,C412&gt;=200),"Page 2 → deepen content / add article",IF(E412&gt;20,"Weak — needs dedicated page","OK"))))</f>
        <v>Page 2 → deepen content / add article</v>
      </c>
    </row>
    <row r="413" customFormat="false" ht="15" hidden="false" customHeight="false" outlineLevel="0" collapsed="false">
      <c r="A413" s="6" t="s">
        <v>470</v>
      </c>
      <c r="B413" s="6" t="n">
        <v>0</v>
      </c>
      <c r="C413" s="6" t="n">
        <v>210</v>
      </c>
      <c r="D413" s="7" t="n">
        <v>0</v>
      </c>
      <c r="E413" s="8" t="n">
        <v>13.04</v>
      </c>
      <c r="F413" s="6" t="s">
        <v>90</v>
      </c>
      <c r="G413" s="6" t="n">
        <f aca="false">IF(AND(E413&gt;=3,E413&lt;=20),ROUND(C413*(1-D413)*(1/E413),0),0)</f>
        <v>16</v>
      </c>
      <c r="H413" s="6" t="str">
        <f aca="false">IF(F413="Brand","Brand — already winning",IF(AND(E413&lt;=10,D413&lt;0.02,C413&gt;=200),"Ranks page 1 but no clicks → fix title/meta",IF(AND(E413&gt;10,E413&lt;=20,C413&gt;=200),"Page 2 → deepen content / add article",IF(E413&gt;20,"Weak — needs dedicated page","OK"))))</f>
        <v>Page 2 → deepen content / add article</v>
      </c>
    </row>
    <row r="414" customFormat="false" ht="15" hidden="false" customHeight="false" outlineLevel="0" collapsed="false">
      <c r="A414" s="6" t="s">
        <v>471</v>
      </c>
      <c r="B414" s="6" t="n">
        <v>0</v>
      </c>
      <c r="C414" s="6" t="n">
        <v>209</v>
      </c>
      <c r="D414" s="7" t="n">
        <v>0</v>
      </c>
      <c r="E414" s="8" t="n">
        <v>53.06</v>
      </c>
      <c r="F414" s="6" t="s">
        <v>56</v>
      </c>
      <c r="G414" s="6" t="n">
        <f aca="false">IF(AND(E414&gt;=3,E414&lt;=20),ROUND(C414*(1-D414)*(1/E414),0),0)</f>
        <v>0</v>
      </c>
      <c r="H414" s="6" t="str">
        <f aca="false">IF(F414="Brand","Brand — already winning",IF(AND(E414&lt;=10,D414&lt;0.02,C414&gt;=200),"Ranks page 1 but no clicks → fix title/meta",IF(AND(E414&gt;10,E414&lt;=20,C414&gt;=200),"Page 2 → deepen content / add article",IF(E414&gt;20,"Weak — needs dedicated page","OK"))))</f>
        <v>Weak — needs dedicated page</v>
      </c>
    </row>
    <row r="415" customFormat="false" ht="15" hidden="false" customHeight="false" outlineLevel="0" collapsed="false">
      <c r="A415" s="6" t="s">
        <v>472</v>
      </c>
      <c r="B415" s="6" t="n">
        <v>0</v>
      </c>
      <c r="C415" s="6" t="n">
        <v>208</v>
      </c>
      <c r="D415" s="7" t="n">
        <v>0</v>
      </c>
      <c r="E415" s="8" t="n">
        <v>13.43</v>
      </c>
      <c r="F415" s="6" t="s">
        <v>48</v>
      </c>
      <c r="G415" s="6" t="n">
        <f aca="false">IF(AND(E415&gt;=3,E415&lt;=20),ROUND(C415*(1-D415)*(1/E415),0),0)</f>
        <v>15</v>
      </c>
      <c r="H415" s="6" t="str">
        <f aca="false">IF(F415="Brand","Brand — already winning",IF(AND(E415&lt;=10,D415&lt;0.02,C415&gt;=200),"Ranks page 1 but no clicks → fix title/meta",IF(AND(E415&gt;10,E415&lt;=20,C415&gt;=200),"Page 2 → deepen content / add article",IF(E415&gt;20,"Weak — needs dedicated page","OK"))))</f>
        <v>Page 2 → deepen content / add article</v>
      </c>
    </row>
    <row r="416" customFormat="false" ht="15" hidden="false" customHeight="false" outlineLevel="0" collapsed="false">
      <c r="A416" s="6" t="s">
        <v>473</v>
      </c>
      <c r="B416" s="6" t="n">
        <v>0</v>
      </c>
      <c r="C416" s="6" t="n">
        <v>207</v>
      </c>
      <c r="D416" s="7" t="n">
        <v>0</v>
      </c>
      <c r="E416" s="8" t="n">
        <v>4</v>
      </c>
      <c r="F416" s="6" t="s">
        <v>90</v>
      </c>
      <c r="G416" s="6" t="n">
        <f aca="false">IF(AND(E416&gt;=3,E416&lt;=20),ROUND(C416*(1-D416)*(1/E416),0),0)</f>
        <v>52</v>
      </c>
      <c r="H416" s="6" t="str">
        <f aca="false">IF(F416="Brand","Brand — already winning",IF(AND(E416&lt;=10,D416&lt;0.02,C416&gt;=200),"Ranks page 1 but no clicks → fix title/meta",IF(AND(E416&gt;10,E416&lt;=20,C416&gt;=200),"Page 2 → deepen content / add article",IF(E416&gt;20,"Weak — needs dedicated page","OK"))))</f>
        <v>Ranks page 1 but no clicks → fix title/meta</v>
      </c>
    </row>
    <row r="417" customFormat="false" ht="15" hidden="false" customHeight="false" outlineLevel="0" collapsed="false">
      <c r="A417" s="6" t="s">
        <v>474</v>
      </c>
      <c r="B417" s="6" t="n">
        <v>0</v>
      </c>
      <c r="C417" s="6" t="n">
        <v>206</v>
      </c>
      <c r="D417" s="7" t="n">
        <v>0</v>
      </c>
      <c r="E417" s="8" t="n">
        <v>5.74</v>
      </c>
      <c r="F417" s="6" t="s">
        <v>48</v>
      </c>
      <c r="G417" s="6" t="n">
        <f aca="false">IF(AND(E417&gt;=3,E417&lt;=20),ROUND(C417*(1-D417)*(1/E417),0),0)</f>
        <v>36</v>
      </c>
      <c r="H417" s="6" t="str">
        <f aca="false">IF(F417="Brand","Brand — already winning",IF(AND(E417&lt;=10,D417&lt;0.02,C417&gt;=200),"Ranks page 1 but no clicks → fix title/meta",IF(AND(E417&gt;10,E417&lt;=20,C417&gt;=200),"Page 2 → deepen content / add article",IF(E417&gt;20,"Weak — needs dedicated page","OK"))))</f>
        <v>Ranks page 1 but no clicks → fix title/meta</v>
      </c>
    </row>
    <row r="418" customFormat="false" ht="15" hidden="false" customHeight="false" outlineLevel="0" collapsed="false">
      <c r="A418" s="6" t="s">
        <v>475</v>
      </c>
      <c r="B418" s="6" t="n">
        <v>0</v>
      </c>
      <c r="C418" s="6" t="n">
        <v>206</v>
      </c>
      <c r="D418" s="7" t="n">
        <v>0</v>
      </c>
      <c r="E418" s="8" t="n">
        <v>6.68</v>
      </c>
      <c r="F418" s="6" t="s">
        <v>48</v>
      </c>
      <c r="G418" s="6" t="n">
        <f aca="false">IF(AND(E418&gt;=3,E418&lt;=20),ROUND(C418*(1-D418)*(1/E418),0),0)</f>
        <v>31</v>
      </c>
      <c r="H418" s="6" t="str">
        <f aca="false">IF(F418="Brand","Brand — already winning",IF(AND(E418&lt;=10,D418&lt;0.02,C418&gt;=200),"Ranks page 1 but no clicks → fix title/meta",IF(AND(E418&gt;10,E418&lt;=20,C418&gt;=200),"Page 2 → deepen content / add article",IF(E418&gt;20,"Weak — needs dedicated page","OK"))))</f>
        <v>Ranks page 1 but no clicks → fix title/meta</v>
      </c>
    </row>
    <row r="419" customFormat="false" ht="15" hidden="false" customHeight="false" outlineLevel="0" collapsed="false">
      <c r="A419" s="6" t="s">
        <v>476</v>
      </c>
      <c r="B419" s="6" t="n">
        <v>0</v>
      </c>
      <c r="C419" s="6" t="n">
        <v>205</v>
      </c>
      <c r="D419" s="7" t="n">
        <v>0</v>
      </c>
      <c r="E419" s="8" t="n">
        <v>54.5</v>
      </c>
      <c r="F419" s="6" t="s">
        <v>58</v>
      </c>
      <c r="G419" s="6" t="n">
        <f aca="false">IF(AND(E419&gt;=3,E419&lt;=20),ROUND(C419*(1-D419)*(1/E419),0),0)</f>
        <v>0</v>
      </c>
      <c r="H419" s="6" t="str">
        <f aca="false">IF(F419="Brand","Brand — already winning",IF(AND(E419&lt;=10,D419&lt;0.02,C419&gt;=200),"Ranks page 1 but no clicks → fix title/meta",IF(AND(E419&gt;10,E419&lt;=20,C419&gt;=200),"Page 2 → deepen content / add article",IF(E419&gt;20,"Weak — needs dedicated page","OK"))))</f>
        <v>Weak — needs dedicated page</v>
      </c>
    </row>
    <row r="420" customFormat="false" ht="15" hidden="false" customHeight="false" outlineLevel="0" collapsed="false">
      <c r="A420" s="6" t="s">
        <v>477</v>
      </c>
      <c r="B420" s="6" t="n">
        <v>0</v>
      </c>
      <c r="C420" s="6" t="n">
        <v>196</v>
      </c>
      <c r="D420" s="7" t="n">
        <v>0</v>
      </c>
      <c r="E420" s="8" t="n">
        <v>5.56</v>
      </c>
      <c r="F420" s="6" t="s">
        <v>48</v>
      </c>
      <c r="G420" s="6" t="n">
        <f aca="false">IF(AND(E420&gt;=3,E420&lt;=20),ROUND(C420*(1-D420)*(1/E420),0),0)</f>
        <v>35</v>
      </c>
      <c r="H420" s="6" t="str">
        <f aca="false">IF(F420="Brand","Brand — already winning",IF(AND(E420&lt;=10,D420&lt;0.02,C420&gt;=200),"Ranks page 1 but no clicks → fix title/meta",IF(AND(E420&gt;10,E420&lt;=20,C420&gt;=200),"Page 2 → deepen content / add article",IF(E420&gt;20,"Weak — needs dedicated page","OK"))))</f>
        <v>OK</v>
      </c>
    </row>
    <row r="421" customFormat="false" ht="15" hidden="false" customHeight="false" outlineLevel="0" collapsed="false">
      <c r="A421" s="6" t="s">
        <v>478</v>
      </c>
      <c r="B421" s="6" t="n">
        <v>0</v>
      </c>
      <c r="C421" s="6" t="n">
        <v>196</v>
      </c>
      <c r="D421" s="7" t="n">
        <v>0</v>
      </c>
      <c r="E421" s="8" t="n">
        <v>6.53</v>
      </c>
      <c r="F421" s="6" t="s">
        <v>56</v>
      </c>
      <c r="G421" s="6" t="n">
        <f aca="false">IF(AND(E421&gt;=3,E421&lt;=20),ROUND(C421*(1-D421)*(1/E421),0),0)</f>
        <v>30</v>
      </c>
      <c r="H421" s="6" t="str">
        <f aca="false">IF(F421="Brand","Brand — already winning",IF(AND(E421&lt;=10,D421&lt;0.02,C421&gt;=200),"Ranks page 1 but no clicks → fix title/meta",IF(AND(E421&gt;10,E421&lt;=20,C421&gt;=200),"Page 2 → deepen content / add article",IF(E421&gt;20,"Weak — needs dedicated page","OK"))))</f>
        <v>OK</v>
      </c>
    </row>
    <row r="422" customFormat="false" ht="15" hidden="false" customHeight="false" outlineLevel="0" collapsed="false">
      <c r="A422" s="6" t="s">
        <v>479</v>
      </c>
      <c r="B422" s="6" t="n">
        <v>0</v>
      </c>
      <c r="C422" s="6" t="n">
        <v>194</v>
      </c>
      <c r="D422" s="7" t="n">
        <v>0</v>
      </c>
      <c r="E422" s="8" t="n">
        <v>3.31</v>
      </c>
      <c r="F422" s="6" t="s">
        <v>90</v>
      </c>
      <c r="G422" s="6" t="n">
        <f aca="false">IF(AND(E422&gt;=3,E422&lt;=20),ROUND(C422*(1-D422)*(1/E422),0),0)</f>
        <v>59</v>
      </c>
      <c r="H422" s="6" t="str">
        <f aca="false">IF(F422="Brand","Brand — already winning",IF(AND(E422&lt;=10,D422&lt;0.02,C422&gt;=200),"Ranks page 1 but no clicks → fix title/meta",IF(AND(E422&gt;10,E422&lt;=20,C422&gt;=200),"Page 2 → deepen content / add article",IF(E422&gt;20,"Weak — needs dedicated page","OK"))))</f>
        <v>OK</v>
      </c>
    </row>
    <row r="423" customFormat="false" ht="15" hidden="false" customHeight="false" outlineLevel="0" collapsed="false">
      <c r="A423" s="6" t="s">
        <v>480</v>
      </c>
      <c r="B423" s="6" t="n">
        <v>0</v>
      </c>
      <c r="C423" s="6" t="n">
        <v>191</v>
      </c>
      <c r="D423" s="7" t="n">
        <v>0</v>
      </c>
      <c r="E423" s="8" t="n">
        <v>3.58</v>
      </c>
      <c r="F423" s="6" t="s">
        <v>90</v>
      </c>
      <c r="G423" s="6" t="n">
        <f aca="false">IF(AND(E423&gt;=3,E423&lt;=20),ROUND(C423*(1-D423)*(1/E423),0),0)</f>
        <v>53</v>
      </c>
      <c r="H423" s="6" t="str">
        <f aca="false">IF(F423="Brand","Brand — already winning",IF(AND(E423&lt;=10,D423&lt;0.02,C423&gt;=200),"Ranks page 1 but no clicks → fix title/meta",IF(AND(E423&gt;10,E423&lt;=20,C423&gt;=200),"Page 2 → deepen content / add article",IF(E423&gt;20,"Weak — needs dedicated page","OK"))))</f>
        <v>OK</v>
      </c>
    </row>
    <row r="424" customFormat="false" ht="15" hidden="false" customHeight="false" outlineLevel="0" collapsed="false">
      <c r="A424" s="6" t="s">
        <v>481</v>
      </c>
      <c r="B424" s="6" t="n">
        <v>0</v>
      </c>
      <c r="C424" s="6" t="n">
        <v>188</v>
      </c>
      <c r="D424" s="7" t="n">
        <v>0</v>
      </c>
      <c r="E424" s="8" t="n">
        <v>29.98</v>
      </c>
      <c r="F424" s="6" t="s">
        <v>198</v>
      </c>
      <c r="G424" s="6" t="n">
        <f aca="false">IF(AND(E424&gt;=3,E424&lt;=20),ROUND(C424*(1-D424)*(1/E424),0),0)</f>
        <v>0</v>
      </c>
      <c r="H424" s="6" t="str">
        <f aca="false">IF(F424="Brand","Brand — already winning",IF(AND(E424&lt;=10,D424&lt;0.02,C424&gt;=200),"Ranks page 1 but no clicks → fix title/meta",IF(AND(E424&gt;10,E424&lt;=20,C424&gt;=200),"Page 2 → deepen content / add article",IF(E424&gt;20,"Weak — needs dedicated page","OK"))))</f>
        <v>Weak — needs dedicated page</v>
      </c>
    </row>
    <row r="425" customFormat="false" ht="15" hidden="false" customHeight="false" outlineLevel="0" collapsed="false">
      <c r="A425" s="6" t="s">
        <v>482</v>
      </c>
      <c r="B425" s="6" t="n">
        <v>0</v>
      </c>
      <c r="C425" s="6" t="n">
        <v>187</v>
      </c>
      <c r="D425" s="7" t="n">
        <v>0</v>
      </c>
      <c r="E425" s="8" t="n">
        <v>3.7</v>
      </c>
      <c r="F425" s="6" t="s">
        <v>90</v>
      </c>
      <c r="G425" s="6" t="n">
        <f aca="false">IF(AND(E425&gt;=3,E425&lt;=20),ROUND(C425*(1-D425)*(1/E425),0),0)</f>
        <v>51</v>
      </c>
      <c r="H425" s="6" t="str">
        <f aca="false">IF(F425="Brand","Brand — already winning",IF(AND(E425&lt;=10,D425&lt;0.02,C425&gt;=200),"Ranks page 1 but no clicks → fix title/meta",IF(AND(E425&gt;10,E425&lt;=20,C425&gt;=200),"Page 2 → deepen content / add article",IF(E425&gt;20,"Weak — needs dedicated page","OK"))))</f>
        <v>OK</v>
      </c>
    </row>
    <row r="426" customFormat="false" ht="15" hidden="false" customHeight="false" outlineLevel="0" collapsed="false">
      <c r="A426" s="6" t="s">
        <v>483</v>
      </c>
      <c r="B426" s="6" t="n">
        <v>0</v>
      </c>
      <c r="C426" s="6" t="n">
        <v>187</v>
      </c>
      <c r="D426" s="7" t="n">
        <v>0</v>
      </c>
      <c r="E426" s="8" t="n">
        <v>5.15</v>
      </c>
      <c r="F426" s="6" t="s">
        <v>90</v>
      </c>
      <c r="G426" s="6" t="n">
        <f aca="false">IF(AND(E426&gt;=3,E426&lt;=20),ROUND(C426*(1-D426)*(1/E426),0),0)</f>
        <v>36</v>
      </c>
      <c r="H426" s="6" t="str">
        <f aca="false">IF(F426="Brand","Brand — already winning",IF(AND(E426&lt;=10,D426&lt;0.02,C426&gt;=200),"Ranks page 1 but no clicks → fix title/meta",IF(AND(E426&gt;10,E426&lt;=20,C426&gt;=200),"Page 2 → deepen content / add article",IF(E426&gt;20,"Weak — needs dedicated page","OK"))))</f>
        <v>OK</v>
      </c>
    </row>
    <row r="427" customFormat="false" ht="15" hidden="false" customHeight="false" outlineLevel="0" collapsed="false">
      <c r="A427" s="6" t="s">
        <v>484</v>
      </c>
      <c r="B427" s="6" t="n">
        <v>0</v>
      </c>
      <c r="C427" s="6" t="n">
        <v>186</v>
      </c>
      <c r="D427" s="7" t="n">
        <v>0</v>
      </c>
      <c r="E427" s="8" t="n">
        <v>24.44</v>
      </c>
      <c r="F427" s="6" t="s">
        <v>95</v>
      </c>
      <c r="G427" s="6" t="n">
        <f aca="false">IF(AND(E427&gt;=3,E427&lt;=20),ROUND(C427*(1-D427)*(1/E427),0),0)</f>
        <v>0</v>
      </c>
      <c r="H427" s="6" t="str">
        <f aca="false">IF(F427="Brand","Brand — already winning",IF(AND(E427&lt;=10,D427&lt;0.02,C427&gt;=200),"Ranks page 1 but no clicks → fix title/meta",IF(AND(E427&gt;10,E427&lt;=20,C427&gt;=200),"Page 2 → deepen content / add article",IF(E427&gt;20,"Weak — needs dedicated page","OK"))))</f>
        <v>Weak — needs dedicated page</v>
      </c>
    </row>
    <row r="428" customFormat="false" ht="15" hidden="false" customHeight="false" outlineLevel="0" collapsed="false">
      <c r="A428" s="6" t="s">
        <v>485</v>
      </c>
      <c r="B428" s="6" t="n">
        <v>0</v>
      </c>
      <c r="C428" s="6" t="n">
        <v>185</v>
      </c>
      <c r="D428" s="7" t="n">
        <v>0</v>
      </c>
      <c r="E428" s="8" t="n">
        <v>5.37</v>
      </c>
      <c r="F428" s="6" t="s">
        <v>90</v>
      </c>
      <c r="G428" s="6" t="n">
        <f aca="false">IF(AND(E428&gt;=3,E428&lt;=20),ROUND(C428*(1-D428)*(1/E428),0),0)</f>
        <v>34</v>
      </c>
      <c r="H428" s="6" t="str">
        <f aca="false">IF(F428="Brand","Brand — already winning",IF(AND(E428&lt;=10,D428&lt;0.02,C428&gt;=200),"Ranks page 1 but no clicks → fix title/meta",IF(AND(E428&gt;10,E428&lt;=20,C428&gt;=200),"Page 2 → deepen content / add article",IF(E428&gt;20,"Weak — needs dedicated page","OK"))))</f>
        <v>OK</v>
      </c>
    </row>
    <row r="429" customFormat="false" ht="15" hidden="false" customHeight="false" outlineLevel="0" collapsed="false">
      <c r="A429" s="6" t="s">
        <v>486</v>
      </c>
      <c r="B429" s="6" t="n">
        <v>0</v>
      </c>
      <c r="C429" s="6" t="n">
        <v>184</v>
      </c>
      <c r="D429" s="7" t="n">
        <v>0</v>
      </c>
      <c r="E429" s="8" t="n">
        <v>6.32</v>
      </c>
      <c r="F429" s="6" t="s">
        <v>90</v>
      </c>
      <c r="G429" s="6" t="n">
        <f aca="false">IF(AND(E429&gt;=3,E429&lt;=20),ROUND(C429*(1-D429)*(1/E429),0),0)</f>
        <v>29</v>
      </c>
      <c r="H429" s="6" t="str">
        <f aca="false">IF(F429="Brand","Brand — already winning",IF(AND(E429&lt;=10,D429&lt;0.02,C429&gt;=200),"Ranks page 1 but no clicks → fix title/meta",IF(AND(E429&gt;10,E429&lt;=20,C429&gt;=200),"Page 2 → deepen content / add article",IF(E429&gt;20,"Weak — needs dedicated page","OK"))))</f>
        <v>OK</v>
      </c>
    </row>
    <row r="430" customFormat="false" ht="15" hidden="false" customHeight="false" outlineLevel="0" collapsed="false">
      <c r="A430" s="6" t="s">
        <v>487</v>
      </c>
      <c r="B430" s="6" t="n">
        <v>0</v>
      </c>
      <c r="C430" s="6" t="n">
        <v>183</v>
      </c>
      <c r="D430" s="7" t="n">
        <v>0</v>
      </c>
      <c r="E430" s="8" t="n">
        <v>11.05</v>
      </c>
      <c r="F430" s="6" t="s">
        <v>48</v>
      </c>
      <c r="G430" s="6" t="n">
        <f aca="false">IF(AND(E430&gt;=3,E430&lt;=20),ROUND(C430*(1-D430)*(1/E430),0),0)</f>
        <v>17</v>
      </c>
      <c r="H430" s="6" t="str">
        <f aca="false">IF(F430="Brand","Brand — already winning",IF(AND(E430&lt;=10,D430&lt;0.02,C430&gt;=200),"Ranks page 1 but no clicks → fix title/meta",IF(AND(E430&gt;10,E430&lt;=20,C430&gt;=200),"Page 2 → deepen content / add article",IF(E430&gt;20,"Weak — needs dedicated page","OK"))))</f>
        <v>OK</v>
      </c>
    </row>
    <row r="431" customFormat="false" ht="15" hidden="false" customHeight="false" outlineLevel="0" collapsed="false">
      <c r="A431" s="6" t="s">
        <v>488</v>
      </c>
      <c r="B431" s="6" t="n">
        <v>0</v>
      </c>
      <c r="C431" s="6" t="n">
        <v>175</v>
      </c>
      <c r="D431" s="7" t="n">
        <v>0</v>
      </c>
      <c r="E431" s="8" t="n">
        <v>7.19</v>
      </c>
      <c r="F431" s="6" t="s">
        <v>48</v>
      </c>
      <c r="G431" s="6" t="n">
        <f aca="false">IF(AND(E431&gt;=3,E431&lt;=20),ROUND(C431*(1-D431)*(1/E431),0),0)</f>
        <v>24</v>
      </c>
      <c r="H431" s="6" t="str">
        <f aca="false">IF(F431="Brand","Brand — already winning",IF(AND(E431&lt;=10,D431&lt;0.02,C431&gt;=200),"Ranks page 1 but no clicks → fix title/meta",IF(AND(E431&gt;10,E431&lt;=20,C431&gt;=200),"Page 2 → deepen content / add article",IF(E431&gt;20,"Weak — needs dedicated page","OK"))))</f>
        <v>OK</v>
      </c>
    </row>
    <row r="432" customFormat="false" ht="15" hidden="false" customHeight="false" outlineLevel="0" collapsed="false">
      <c r="A432" s="6" t="s">
        <v>489</v>
      </c>
      <c r="B432" s="6" t="n">
        <v>0</v>
      </c>
      <c r="C432" s="6" t="n">
        <v>174</v>
      </c>
      <c r="D432" s="7" t="n">
        <v>0</v>
      </c>
      <c r="E432" s="8" t="n">
        <v>9.42</v>
      </c>
      <c r="F432" s="6" t="s">
        <v>490</v>
      </c>
      <c r="G432" s="6" t="n">
        <f aca="false">IF(AND(E432&gt;=3,E432&lt;=20),ROUND(C432*(1-D432)*(1/E432),0),0)</f>
        <v>18</v>
      </c>
      <c r="H432" s="6" t="str">
        <f aca="false">IF(F432="Brand","Brand — already winning",IF(AND(E432&lt;=10,D432&lt;0.02,C432&gt;=200),"Ranks page 1 but no clicks → fix title/meta",IF(AND(E432&gt;10,E432&lt;=20,C432&gt;=200),"Page 2 → deepen content / add article",IF(E432&gt;20,"Weak — needs dedicated page","OK"))))</f>
        <v>OK</v>
      </c>
    </row>
    <row r="433" customFormat="false" ht="15" hidden="false" customHeight="false" outlineLevel="0" collapsed="false">
      <c r="A433" s="6" t="s">
        <v>491</v>
      </c>
      <c r="B433" s="6" t="n">
        <v>0</v>
      </c>
      <c r="C433" s="6" t="n">
        <v>173</v>
      </c>
      <c r="D433" s="7" t="n">
        <v>0</v>
      </c>
      <c r="E433" s="8" t="n">
        <v>4.13</v>
      </c>
      <c r="F433" s="6" t="s">
        <v>90</v>
      </c>
      <c r="G433" s="6" t="n">
        <f aca="false">IF(AND(E433&gt;=3,E433&lt;=20),ROUND(C433*(1-D433)*(1/E433),0),0)</f>
        <v>42</v>
      </c>
      <c r="H433" s="6" t="str">
        <f aca="false">IF(F433="Brand","Brand — already winning",IF(AND(E433&lt;=10,D433&lt;0.02,C433&gt;=200),"Ranks page 1 but no clicks → fix title/meta",IF(AND(E433&gt;10,E433&lt;=20,C433&gt;=200),"Page 2 → deepen content / add article",IF(E433&gt;20,"Weak — needs dedicated page","OK"))))</f>
        <v>OK</v>
      </c>
    </row>
    <row r="434" customFormat="false" ht="15" hidden="false" customHeight="false" outlineLevel="0" collapsed="false">
      <c r="A434" s="6" t="s">
        <v>492</v>
      </c>
      <c r="B434" s="6" t="n">
        <v>0</v>
      </c>
      <c r="C434" s="6" t="n">
        <v>170</v>
      </c>
      <c r="D434" s="7" t="n">
        <v>0</v>
      </c>
      <c r="E434" s="8" t="n">
        <v>9.45</v>
      </c>
      <c r="F434" s="6" t="s">
        <v>490</v>
      </c>
      <c r="G434" s="6" t="n">
        <f aca="false">IF(AND(E434&gt;=3,E434&lt;=20),ROUND(C434*(1-D434)*(1/E434),0),0)</f>
        <v>18</v>
      </c>
      <c r="H434" s="6" t="str">
        <f aca="false">IF(F434="Brand","Brand — already winning",IF(AND(E434&lt;=10,D434&lt;0.02,C434&gt;=200),"Ranks page 1 but no clicks → fix title/meta",IF(AND(E434&gt;10,E434&lt;=20,C434&gt;=200),"Page 2 → deepen content / add article",IF(E434&gt;20,"Weak — needs dedicated page","OK"))))</f>
        <v>OK</v>
      </c>
    </row>
    <row r="435" customFormat="false" ht="15" hidden="false" customHeight="false" outlineLevel="0" collapsed="false">
      <c r="A435" s="6" t="s">
        <v>493</v>
      </c>
      <c r="B435" s="6" t="n">
        <v>0</v>
      </c>
      <c r="C435" s="6" t="n">
        <v>169</v>
      </c>
      <c r="D435" s="7" t="n">
        <v>0</v>
      </c>
      <c r="E435" s="8" t="n">
        <v>3.29</v>
      </c>
      <c r="F435" s="6" t="s">
        <v>90</v>
      </c>
      <c r="G435" s="6" t="n">
        <f aca="false">IF(AND(E435&gt;=3,E435&lt;=20),ROUND(C435*(1-D435)*(1/E435),0),0)</f>
        <v>51</v>
      </c>
      <c r="H435" s="6" t="str">
        <f aca="false">IF(F435="Brand","Brand — already winning",IF(AND(E435&lt;=10,D435&lt;0.02,C435&gt;=200),"Ranks page 1 but no clicks → fix title/meta",IF(AND(E435&gt;10,E435&lt;=20,C435&gt;=200),"Page 2 → deepen content / add article",IF(E435&gt;20,"Weak — needs dedicated page","OK"))))</f>
        <v>OK</v>
      </c>
    </row>
    <row r="436" customFormat="false" ht="15" hidden="false" customHeight="false" outlineLevel="0" collapsed="false">
      <c r="A436" s="6" t="s">
        <v>494</v>
      </c>
      <c r="B436" s="6" t="n">
        <v>0</v>
      </c>
      <c r="C436" s="6" t="n">
        <v>165</v>
      </c>
      <c r="D436" s="7" t="n">
        <v>0</v>
      </c>
      <c r="E436" s="8" t="n">
        <v>2.23</v>
      </c>
      <c r="F436" s="6" t="s">
        <v>78</v>
      </c>
      <c r="G436" s="6" t="n">
        <f aca="false">IF(AND(E436&gt;=3,E436&lt;=20),ROUND(C436*(1-D436)*(1/E436),0),0)</f>
        <v>0</v>
      </c>
      <c r="H436" s="6" t="str">
        <f aca="false">IF(F436="Brand","Brand — already winning",IF(AND(E436&lt;=10,D436&lt;0.02,C436&gt;=200),"Ranks page 1 but no clicks → fix title/meta",IF(AND(E436&gt;10,E436&lt;=20,C436&gt;=200),"Page 2 → deepen content / add article",IF(E436&gt;20,"Weak — needs dedicated page","OK"))))</f>
        <v>OK</v>
      </c>
    </row>
    <row r="437" customFormat="false" ht="15" hidden="false" customHeight="false" outlineLevel="0" collapsed="false">
      <c r="A437" s="6" t="s">
        <v>495</v>
      </c>
      <c r="B437" s="6" t="n">
        <v>0</v>
      </c>
      <c r="C437" s="6" t="n">
        <v>165</v>
      </c>
      <c r="D437" s="7" t="n">
        <v>0</v>
      </c>
      <c r="E437" s="8" t="n">
        <v>54.7</v>
      </c>
      <c r="F437" s="6" t="s">
        <v>56</v>
      </c>
      <c r="G437" s="6" t="n">
        <f aca="false">IF(AND(E437&gt;=3,E437&lt;=20),ROUND(C437*(1-D437)*(1/E437),0),0)</f>
        <v>0</v>
      </c>
      <c r="H437" s="6" t="str">
        <f aca="false">IF(F437="Brand","Brand — already winning",IF(AND(E437&lt;=10,D437&lt;0.02,C437&gt;=200),"Ranks page 1 but no clicks → fix title/meta",IF(AND(E437&gt;10,E437&lt;=20,C437&gt;=200),"Page 2 → deepen content / add article",IF(E437&gt;20,"Weak — needs dedicated page","OK"))))</f>
        <v>Weak — needs dedicated page</v>
      </c>
    </row>
    <row r="438" customFormat="false" ht="15" hidden="false" customHeight="false" outlineLevel="0" collapsed="false">
      <c r="A438" s="6" t="s">
        <v>496</v>
      </c>
      <c r="B438" s="6" t="n">
        <v>0</v>
      </c>
      <c r="C438" s="6" t="n">
        <v>165</v>
      </c>
      <c r="D438" s="7" t="n">
        <v>0</v>
      </c>
      <c r="E438" s="8" t="n">
        <v>61.15</v>
      </c>
      <c r="F438" s="6" t="s">
        <v>58</v>
      </c>
      <c r="G438" s="6" t="n">
        <f aca="false">IF(AND(E438&gt;=3,E438&lt;=20),ROUND(C438*(1-D438)*(1/E438),0),0)</f>
        <v>0</v>
      </c>
      <c r="H438" s="6" t="str">
        <f aca="false">IF(F438="Brand","Brand — already winning",IF(AND(E438&lt;=10,D438&lt;0.02,C438&gt;=200),"Ranks page 1 but no clicks → fix title/meta",IF(AND(E438&gt;10,E438&lt;=20,C438&gt;=200),"Page 2 → deepen content / add article",IF(E438&gt;20,"Weak — needs dedicated page","OK"))))</f>
        <v>Weak — needs dedicated page</v>
      </c>
    </row>
    <row r="439" customFormat="false" ht="15" hidden="false" customHeight="false" outlineLevel="0" collapsed="false">
      <c r="A439" s="6" t="s">
        <v>497</v>
      </c>
      <c r="B439" s="6" t="n">
        <v>0</v>
      </c>
      <c r="C439" s="6" t="n">
        <v>164</v>
      </c>
      <c r="D439" s="7" t="n">
        <v>0</v>
      </c>
      <c r="E439" s="8" t="n">
        <v>30.54</v>
      </c>
      <c r="F439" s="6" t="s">
        <v>162</v>
      </c>
      <c r="G439" s="6" t="n">
        <f aca="false">IF(AND(E439&gt;=3,E439&lt;=20),ROUND(C439*(1-D439)*(1/E439),0),0)</f>
        <v>0</v>
      </c>
      <c r="H439" s="6" t="str">
        <f aca="false">IF(F439="Brand","Brand — already winning",IF(AND(E439&lt;=10,D439&lt;0.02,C439&gt;=200),"Ranks page 1 but no clicks → fix title/meta",IF(AND(E439&gt;10,E439&lt;=20,C439&gt;=200),"Page 2 → deepen content / add article",IF(E439&gt;20,"Weak — needs dedicated page","OK"))))</f>
        <v>Weak — needs dedicated page</v>
      </c>
    </row>
    <row r="440" customFormat="false" ht="15" hidden="false" customHeight="false" outlineLevel="0" collapsed="false">
      <c r="A440" s="6" t="s">
        <v>498</v>
      </c>
      <c r="B440" s="6" t="n">
        <v>0</v>
      </c>
      <c r="C440" s="6" t="n">
        <v>164</v>
      </c>
      <c r="D440" s="7" t="n">
        <v>0</v>
      </c>
      <c r="E440" s="8" t="n">
        <v>35.65</v>
      </c>
      <c r="F440" s="6" t="s">
        <v>78</v>
      </c>
      <c r="G440" s="6" t="n">
        <f aca="false">IF(AND(E440&gt;=3,E440&lt;=20),ROUND(C440*(1-D440)*(1/E440),0),0)</f>
        <v>0</v>
      </c>
      <c r="H440" s="6" t="str">
        <f aca="false">IF(F440="Brand","Brand — already winning",IF(AND(E440&lt;=10,D440&lt;0.02,C440&gt;=200),"Ranks page 1 but no clicks → fix title/meta",IF(AND(E440&gt;10,E440&lt;=20,C440&gt;=200),"Page 2 → deepen content / add article",IF(E440&gt;20,"Weak — needs dedicated page","OK"))))</f>
        <v>Weak — needs dedicated page</v>
      </c>
    </row>
    <row r="441" customFormat="false" ht="15" hidden="false" customHeight="false" outlineLevel="0" collapsed="false">
      <c r="A441" s="6" t="s">
        <v>499</v>
      </c>
      <c r="B441" s="6" t="n">
        <v>0</v>
      </c>
      <c r="C441" s="6" t="n">
        <v>162</v>
      </c>
      <c r="D441" s="7" t="n">
        <v>0</v>
      </c>
      <c r="E441" s="8" t="n">
        <v>40.74</v>
      </c>
      <c r="F441" s="6" t="s">
        <v>68</v>
      </c>
      <c r="G441" s="6" t="n">
        <f aca="false">IF(AND(E441&gt;=3,E441&lt;=20),ROUND(C441*(1-D441)*(1/E441),0),0)</f>
        <v>0</v>
      </c>
      <c r="H441" s="6" t="str">
        <f aca="false">IF(F441="Brand","Brand — already winning",IF(AND(E441&lt;=10,D441&lt;0.02,C441&gt;=200),"Ranks page 1 but no clicks → fix title/meta",IF(AND(E441&gt;10,E441&lt;=20,C441&gt;=200),"Page 2 → deepen content / add article",IF(E441&gt;20,"Weak — needs dedicated page","OK"))))</f>
        <v>Weak — needs dedicated page</v>
      </c>
    </row>
    <row r="442" customFormat="false" ht="15" hidden="false" customHeight="false" outlineLevel="0" collapsed="false">
      <c r="A442" s="6" t="s">
        <v>500</v>
      </c>
      <c r="B442" s="6" t="n">
        <v>0</v>
      </c>
      <c r="C442" s="6" t="n">
        <v>160</v>
      </c>
      <c r="D442" s="7" t="n">
        <v>0</v>
      </c>
      <c r="E442" s="8" t="n">
        <v>52.05</v>
      </c>
      <c r="F442" s="6" t="s">
        <v>68</v>
      </c>
      <c r="G442" s="6" t="n">
        <f aca="false">IF(AND(E442&gt;=3,E442&lt;=20),ROUND(C442*(1-D442)*(1/E442),0),0)</f>
        <v>0</v>
      </c>
      <c r="H442" s="6" t="str">
        <f aca="false">IF(F442="Brand","Brand — already winning",IF(AND(E442&lt;=10,D442&lt;0.02,C442&gt;=200),"Ranks page 1 but no clicks → fix title/meta",IF(AND(E442&gt;10,E442&lt;=20,C442&gt;=200),"Page 2 → deepen content / add article",IF(E442&gt;20,"Weak — needs dedicated page","OK"))))</f>
        <v>Weak — needs dedicated page</v>
      </c>
    </row>
    <row r="443" customFormat="false" ht="15" hidden="false" customHeight="false" outlineLevel="0" collapsed="false">
      <c r="A443" s="6" t="s">
        <v>501</v>
      </c>
      <c r="B443" s="6" t="n">
        <v>0</v>
      </c>
      <c r="C443" s="6" t="n">
        <v>158</v>
      </c>
      <c r="D443" s="7" t="n">
        <v>0</v>
      </c>
      <c r="E443" s="8" t="n">
        <v>4.56</v>
      </c>
      <c r="F443" s="6" t="s">
        <v>78</v>
      </c>
      <c r="G443" s="6" t="n">
        <f aca="false">IF(AND(E443&gt;=3,E443&lt;=20),ROUND(C443*(1-D443)*(1/E443),0),0)</f>
        <v>35</v>
      </c>
      <c r="H443" s="6" t="str">
        <f aca="false">IF(F443="Brand","Brand — already winning",IF(AND(E443&lt;=10,D443&lt;0.02,C443&gt;=200),"Ranks page 1 but no clicks → fix title/meta",IF(AND(E443&gt;10,E443&lt;=20,C443&gt;=200),"Page 2 → deepen content / add article",IF(E443&gt;20,"Weak — needs dedicated page","OK"))))</f>
        <v>OK</v>
      </c>
    </row>
    <row r="444" customFormat="false" ht="15" hidden="false" customHeight="false" outlineLevel="0" collapsed="false">
      <c r="A444" s="6" t="s">
        <v>502</v>
      </c>
      <c r="B444" s="6" t="n">
        <v>0</v>
      </c>
      <c r="C444" s="6" t="n">
        <v>155</v>
      </c>
      <c r="D444" s="7" t="n">
        <v>0</v>
      </c>
      <c r="E444" s="8" t="n">
        <v>7.82</v>
      </c>
      <c r="F444" s="6" t="s">
        <v>58</v>
      </c>
      <c r="G444" s="6" t="n">
        <f aca="false">IF(AND(E444&gt;=3,E444&lt;=20),ROUND(C444*(1-D444)*(1/E444),0),0)</f>
        <v>20</v>
      </c>
      <c r="H444" s="6" t="str">
        <f aca="false">IF(F444="Brand","Brand — already winning",IF(AND(E444&lt;=10,D444&lt;0.02,C444&gt;=200),"Ranks page 1 but no clicks → fix title/meta",IF(AND(E444&gt;10,E444&lt;=20,C444&gt;=200),"Page 2 → deepen content / add article",IF(E444&gt;20,"Weak — needs dedicated page","OK"))))</f>
        <v>OK</v>
      </c>
    </row>
    <row r="445" customFormat="false" ht="15" hidden="false" customHeight="false" outlineLevel="0" collapsed="false">
      <c r="A445" s="6" t="s">
        <v>503</v>
      </c>
      <c r="B445" s="6" t="n">
        <v>0</v>
      </c>
      <c r="C445" s="6" t="n">
        <v>152</v>
      </c>
      <c r="D445" s="7" t="n">
        <v>0</v>
      </c>
      <c r="E445" s="8" t="n">
        <v>5.78</v>
      </c>
      <c r="F445" s="6" t="s">
        <v>90</v>
      </c>
      <c r="G445" s="6" t="n">
        <f aca="false">IF(AND(E445&gt;=3,E445&lt;=20),ROUND(C445*(1-D445)*(1/E445),0),0)</f>
        <v>26</v>
      </c>
      <c r="H445" s="6" t="str">
        <f aca="false">IF(F445="Brand","Brand — already winning",IF(AND(E445&lt;=10,D445&lt;0.02,C445&gt;=200),"Ranks page 1 but no clicks → fix title/meta",IF(AND(E445&gt;10,E445&lt;=20,C445&gt;=200),"Page 2 → deepen content / add article",IF(E445&gt;20,"Weak — needs dedicated page","OK"))))</f>
        <v>OK</v>
      </c>
    </row>
    <row r="446" customFormat="false" ht="15" hidden="false" customHeight="false" outlineLevel="0" collapsed="false">
      <c r="A446" s="6" t="s">
        <v>504</v>
      </c>
      <c r="B446" s="6" t="n">
        <v>0</v>
      </c>
      <c r="C446" s="6" t="n">
        <v>151</v>
      </c>
      <c r="D446" s="7" t="n">
        <v>0</v>
      </c>
      <c r="E446" s="8" t="n">
        <v>13.99</v>
      </c>
      <c r="F446" s="6" t="s">
        <v>90</v>
      </c>
      <c r="G446" s="6" t="n">
        <f aca="false">IF(AND(E446&gt;=3,E446&lt;=20),ROUND(C446*(1-D446)*(1/E446),0),0)</f>
        <v>11</v>
      </c>
      <c r="H446" s="6" t="str">
        <f aca="false">IF(F446="Brand","Brand — already winning",IF(AND(E446&lt;=10,D446&lt;0.02,C446&gt;=200),"Ranks page 1 but no clicks → fix title/meta",IF(AND(E446&gt;10,E446&lt;=20,C446&gt;=200),"Page 2 → deepen content / add article",IF(E446&gt;20,"Weak — needs dedicated page","OK"))))</f>
        <v>OK</v>
      </c>
    </row>
    <row r="447" customFormat="false" ht="15" hidden="false" customHeight="false" outlineLevel="0" collapsed="false">
      <c r="A447" s="6" t="s">
        <v>505</v>
      </c>
      <c r="B447" s="6" t="n">
        <v>0</v>
      </c>
      <c r="C447" s="6" t="n">
        <v>151</v>
      </c>
      <c r="D447" s="7" t="n">
        <v>0</v>
      </c>
      <c r="E447" s="8" t="n">
        <v>15.14</v>
      </c>
      <c r="F447" s="6" t="s">
        <v>68</v>
      </c>
      <c r="G447" s="6" t="n">
        <f aca="false">IF(AND(E447&gt;=3,E447&lt;=20),ROUND(C447*(1-D447)*(1/E447),0),0)</f>
        <v>10</v>
      </c>
      <c r="H447" s="6" t="str">
        <f aca="false">IF(F447="Brand","Brand — already winning",IF(AND(E447&lt;=10,D447&lt;0.02,C447&gt;=200),"Ranks page 1 but no clicks → fix title/meta",IF(AND(E447&gt;10,E447&lt;=20,C447&gt;=200),"Page 2 → deepen content / add article",IF(E447&gt;20,"Weak — needs dedicated page","OK"))))</f>
        <v>OK</v>
      </c>
    </row>
    <row r="448" customFormat="false" ht="15" hidden="false" customHeight="false" outlineLevel="0" collapsed="false">
      <c r="A448" s="6" t="s">
        <v>506</v>
      </c>
      <c r="B448" s="6" t="n">
        <v>0</v>
      </c>
      <c r="C448" s="6" t="n">
        <v>147</v>
      </c>
      <c r="D448" s="7" t="n">
        <v>0</v>
      </c>
      <c r="E448" s="8" t="n">
        <v>54.61</v>
      </c>
      <c r="F448" s="6" t="s">
        <v>78</v>
      </c>
      <c r="G448" s="6" t="n">
        <f aca="false">IF(AND(E448&gt;=3,E448&lt;=20),ROUND(C448*(1-D448)*(1/E448),0),0)</f>
        <v>0</v>
      </c>
      <c r="H448" s="6" t="str">
        <f aca="false">IF(F448="Brand","Brand — already winning",IF(AND(E448&lt;=10,D448&lt;0.02,C448&gt;=200),"Ranks page 1 but no clicks → fix title/meta",IF(AND(E448&gt;10,E448&lt;=20,C448&gt;=200),"Page 2 → deepen content / add article",IF(E448&gt;20,"Weak — needs dedicated page","OK"))))</f>
        <v>Weak — needs dedicated page</v>
      </c>
    </row>
    <row r="449" customFormat="false" ht="15" hidden="false" customHeight="false" outlineLevel="0" collapsed="false">
      <c r="A449" s="6" t="s">
        <v>507</v>
      </c>
      <c r="B449" s="6" t="n">
        <v>0</v>
      </c>
      <c r="C449" s="6" t="n">
        <v>146</v>
      </c>
      <c r="D449" s="7" t="n">
        <v>0</v>
      </c>
      <c r="E449" s="8" t="n">
        <v>5.48</v>
      </c>
      <c r="F449" s="6" t="s">
        <v>90</v>
      </c>
      <c r="G449" s="6" t="n">
        <f aca="false">IF(AND(E449&gt;=3,E449&lt;=20),ROUND(C449*(1-D449)*(1/E449),0),0)</f>
        <v>27</v>
      </c>
      <c r="H449" s="6" t="str">
        <f aca="false">IF(F449="Brand","Brand — already winning",IF(AND(E449&lt;=10,D449&lt;0.02,C449&gt;=200),"Ranks page 1 but no clicks → fix title/meta",IF(AND(E449&gt;10,E449&lt;=20,C449&gt;=200),"Page 2 → deepen content / add article",IF(E449&gt;20,"Weak — needs dedicated page","OK"))))</f>
        <v>OK</v>
      </c>
    </row>
    <row r="450" customFormat="false" ht="15" hidden="false" customHeight="false" outlineLevel="0" collapsed="false">
      <c r="A450" s="6" t="s">
        <v>508</v>
      </c>
      <c r="B450" s="6" t="n">
        <v>0</v>
      </c>
      <c r="C450" s="6" t="n">
        <v>146</v>
      </c>
      <c r="D450" s="7" t="n">
        <v>0</v>
      </c>
      <c r="E450" s="8" t="n">
        <v>58.84</v>
      </c>
      <c r="F450" s="6" t="s">
        <v>68</v>
      </c>
      <c r="G450" s="6" t="n">
        <f aca="false">IF(AND(E450&gt;=3,E450&lt;=20),ROUND(C450*(1-D450)*(1/E450),0),0)</f>
        <v>0</v>
      </c>
      <c r="H450" s="6" t="str">
        <f aca="false">IF(F450="Brand","Brand — already winning",IF(AND(E450&lt;=10,D450&lt;0.02,C450&gt;=200),"Ranks page 1 but no clicks → fix title/meta",IF(AND(E450&gt;10,E450&lt;=20,C450&gt;=200),"Page 2 → deepen content / add article",IF(E450&gt;20,"Weak — needs dedicated page","OK"))))</f>
        <v>Weak — needs dedicated page</v>
      </c>
    </row>
    <row r="451" customFormat="false" ht="15" hidden="false" customHeight="false" outlineLevel="0" collapsed="false">
      <c r="A451" s="6" t="s">
        <v>509</v>
      </c>
      <c r="B451" s="6" t="n">
        <v>0</v>
      </c>
      <c r="C451" s="6" t="n">
        <v>145</v>
      </c>
      <c r="D451" s="7" t="n">
        <v>0</v>
      </c>
      <c r="E451" s="8" t="n">
        <v>9.22</v>
      </c>
      <c r="F451" s="6" t="s">
        <v>48</v>
      </c>
      <c r="G451" s="6" t="n">
        <f aca="false">IF(AND(E451&gt;=3,E451&lt;=20),ROUND(C451*(1-D451)*(1/E451),0),0)</f>
        <v>16</v>
      </c>
      <c r="H451" s="6" t="str">
        <f aca="false">IF(F451="Brand","Brand — already winning",IF(AND(E451&lt;=10,D451&lt;0.02,C451&gt;=200),"Ranks page 1 but no clicks → fix title/meta",IF(AND(E451&gt;10,E451&lt;=20,C451&gt;=200),"Page 2 → deepen content / add article",IF(E451&gt;20,"Weak — needs dedicated page","OK"))))</f>
        <v>OK</v>
      </c>
    </row>
    <row r="452" customFormat="false" ht="15" hidden="false" customHeight="false" outlineLevel="0" collapsed="false">
      <c r="A452" s="6" t="s">
        <v>510</v>
      </c>
      <c r="B452" s="6" t="n">
        <v>0</v>
      </c>
      <c r="C452" s="6" t="n">
        <v>145</v>
      </c>
      <c r="D452" s="7" t="n">
        <v>0</v>
      </c>
      <c r="E452" s="8" t="n">
        <v>46.9</v>
      </c>
      <c r="F452" s="6" t="s">
        <v>78</v>
      </c>
      <c r="G452" s="6" t="n">
        <f aca="false">IF(AND(E452&gt;=3,E452&lt;=20),ROUND(C452*(1-D452)*(1/E452),0),0)</f>
        <v>0</v>
      </c>
      <c r="H452" s="6" t="str">
        <f aca="false">IF(F452="Brand","Brand — already winning",IF(AND(E452&lt;=10,D452&lt;0.02,C452&gt;=200),"Ranks page 1 but no clicks → fix title/meta",IF(AND(E452&gt;10,E452&lt;=20,C452&gt;=200),"Page 2 → deepen content / add article",IF(E452&gt;20,"Weak — needs dedicated page","OK"))))</f>
        <v>Weak — needs dedicated page</v>
      </c>
    </row>
    <row r="453" customFormat="false" ht="15" hidden="false" customHeight="false" outlineLevel="0" collapsed="false">
      <c r="A453" s="6" t="s">
        <v>511</v>
      </c>
      <c r="B453" s="6" t="n">
        <v>0</v>
      </c>
      <c r="C453" s="6" t="n">
        <v>145</v>
      </c>
      <c r="D453" s="7" t="n">
        <v>0</v>
      </c>
      <c r="E453" s="8" t="n">
        <v>53.43</v>
      </c>
      <c r="F453" s="6" t="s">
        <v>56</v>
      </c>
      <c r="G453" s="6" t="n">
        <f aca="false">IF(AND(E453&gt;=3,E453&lt;=20),ROUND(C453*(1-D453)*(1/E453),0),0)</f>
        <v>0</v>
      </c>
      <c r="H453" s="6" t="str">
        <f aca="false">IF(F453="Brand","Brand — already winning",IF(AND(E453&lt;=10,D453&lt;0.02,C453&gt;=200),"Ranks page 1 but no clicks → fix title/meta",IF(AND(E453&gt;10,E453&lt;=20,C453&gt;=200),"Page 2 → deepen content / add article",IF(E453&gt;20,"Weak — needs dedicated page","OK"))))</f>
        <v>Weak — needs dedicated page</v>
      </c>
    </row>
    <row r="454" customFormat="false" ht="15" hidden="false" customHeight="false" outlineLevel="0" collapsed="false">
      <c r="A454" s="6" t="s">
        <v>512</v>
      </c>
      <c r="B454" s="6" t="n">
        <v>0</v>
      </c>
      <c r="C454" s="6" t="n">
        <v>144</v>
      </c>
      <c r="D454" s="7" t="n">
        <v>0</v>
      </c>
      <c r="E454" s="8" t="n">
        <v>6.79</v>
      </c>
      <c r="F454" s="6" t="s">
        <v>90</v>
      </c>
      <c r="G454" s="6" t="n">
        <f aca="false">IF(AND(E454&gt;=3,E454&lt;=20),ROUND(C454*(1-D454)*(1/E454),0),0)</f>
        <v>21</v>
      </c>
      <c r="H454" s="6" t="str">
        <f aca="false">IF(F454="Brand","Brand — already winning",IF(AND(E454&lt;=10,D454&lt;0.02,C454&gt;=200),"Ranks page 1 but no clicks → fix title/meta",IF(AND(E454&gt;10,E454&lt;=20,C454&gt;=200),"Page 2 → deepen content / add article",IF(E454&gt;20,"Weak — needs dedicated page","OK"))))</f>
        <v>OK</v>
      </c>
    </row>
    <row r="455" customFormat="false" ht="15" hidden="false" customHeight="false" outlineLevel="0" collapsed="false">
      <c r="A455" s="6" t="s">
        <v>513</v>
      </c>
      <c r="B455" s="6" t="n">
        <v>0</v>
      </c>
      <c r="C455" s="6" t="n">
        <v>144</v>
      </c>
      <c r="D455" s="7" t="n">
        <v>0</v>
      </c>
      <c r="E455" s="8" t="n">
        <v>31.39</v>
      </c>
      <c r="F455" s="6" t="s">
        <v>48</v>
      </c>
      <c r="G455" s="6" t="n">
        <f aca="false">IF(AND(E455&gt;=3,E455&lt;=20),ROUND(C455*(1-D455)*(1/E455),0),0)</f>
        <v>0</v>
      </c>
      <c r="H455" s="6" t="str">
        <f aca="false">IF(F455="Brand","Brand — already winning",IF(AND(E455&lt;=10,D455&lt;0.02,C455&gt;=200),"Ranks page 1 but no clicks → fix title/meta",IF(AND(E455&gt;10,E455&lt;=20,C455&gt;=200),"Page 2 → deepen content / add article",IF(E455&gt;20,"Weak — needs dedicated page","OK"))))</f>
        <v>Weak — needs dedicated page</v>
      </c>
    </row>
    <row r="456" customFormat="false" ht="15" hidden="false" customHeight="false" outlineLevel="0" collapsed="false">
      <c r="A456" s="6" t="s">
        <v>514</v>
      </c>
      <c r="B456" s="6" t="n">
        <v>0</v>
      </c>
      <c r="C456" s="6" t="n">
        <v>144</v>
      </c>
      <c r="D456" s="7" t="n">
        <v>0</v>
      </c>
      <c r="E456" s="8" t="n">
        <v>36.89</v>
      </c>
      <c r="F456" s="6" t="s">
        <v>56</v>
      </c>
      <c r="G456" s="6" t="n">
        <f aca="false">IF(AND(E456&gt;=3,E456&lt;=20),ROUND(C456*(1-D456)*(1/E456),0),0)</f>
        <v>0</v>
      </c>
      <c r="H456" s="6" t="str">
        <f aca="false">IF(F456="Brand","Brand — already winning",IF(AND(E456&lt;=10,D456&lt;0.02,C456&gt;=200),"Ranks page 1 but no clicks → fix title/meta",IF(AND(E456&gt;10,E456&lt;=20,C456&gt;=200),"Page 2 → deepen content / add article",IF(E456&gt;20,"Weak — needs dedicated page","OK"))))</f>
        <v>Weak — needs dedicated page</v>
      </c>
    </row>
    <row r="457" customFormat="false" ht="15" hidden="false" customHeight="false" outlineLevel="0" collapsed="false">
      <c r="A457" s="6" t="s">
        <v>515</v>
      </c>
      <c r="B457" s="6" t="n">
        <v>0</v>
      </c>
      <c r="C457" s="6" t="n">
        <v>143</v>
      </c>
      <c r="D457" s="7" t="n">
        <v>0</v>
      </c>
      <c r="E457" s="8" t="n">
        <v>7.8</v>
      </c>
      <c r="F457" s="6" t="s">
        <v>90</v>
      </c>
      <c r="G457" s="6" t="n">
        <f aca="false">IF(AND(E457&gt;=3,E457&lt;=20),ROUND(C457*(1-D457)*(1/E457),0),0)</f>
        <v>18</v>
      </c>
      <c r="H457" s="6" t="str">
        <f aca="false">IF(F457="Brand","Brand — already winning",IF(AND(E457&lt;=10,D457&lt;0.02,C457&gt;=200),"Ranks page 1 but no clicks → fix title/meta",IF(AND(E457&gt;10,E457&lt;=20,C457&gt;=200),"Page 2 → deepen content / add article",IF(E457&gt;20,"Weak — needs dedicated page","OK"))))</f>
        <v>OK</v>
      </c>
    </row>
    <row r="458" customFormat="false" ht="15" hidden="false" customHeight="false" outlineLevel="0" collapsed="false">
      <c r="A458" s="6" t="s">
        <v>516</v>
      </c>
      <c r="B458" s="6" t="n">
        <v>0</v>
      </c>
      <c r="C458" s="6" t="n">
        <v>142</v>
      </c>
      <c r="D458" s="7" t="n">
        <v>0</v>
      </c>
      <c r="E458" s="8" t="n">
        <v>8.14</v>
      </c>
      <c r="F458" s="6" t="s">
        <v>48</v>
      </c>
      <c r="G458" s="6" t="n">
        <f aca="false">IF(AND(E458&gt;=3,E458&lt;=20),ROUND(C458*(1-D458)*(1/E458),0),0)</f>
        <v>17</v>
      </c>
      <c r="H458" s="6" t="str">
        <f aca="false">IF(F458="Brand","Brand — already winning",IF(AND(E458&lt;=10,D458&lt;0.02,C458&gt;=200),"Ranks page 1 but no clicks → fix title/meta",IF(AND(E458&gt;10,E458&lt;=20,C458&gt;=200),"Page 2 → deepen content / add article",IF(E458&gt;20,"Weak — needs dedicated page","OK"))))</f>
        <v>OK</v>
      </c>
    </row>
    <row r="459" customFormat="false" ht="15" hidden="false" customHeight="false" outlineLevel="0" collapsed="false">
      <c r="A459" s="6" t="s">
        <v>517</v>
      </c>
      <c r="B459" s="6" t="n">
        <v>0</v>
      </c>
      <c r="C459" s="6" t="n">
        <v>142</v>
      </c>
      <c r="D459" s="7" t="n">
        <v>0</v>
      </c>
      <c r="E459" s="8" t="n">
        <v>47.49</v>
      </c>
      <c r="F459" s="6" t="s">
        <v>56</v>
      </c>
      <c r="G459" s="6" t="n">
        <f aca="false">IF(AND(E459&gt;=3,E459&lt;=20),ROUND(C459*(1-D459)*(1/E459),0),0)</f>
        <v>0</v>
      </c>
      <c r="H459" s="6" t="str">
        <f aca="false">IF(F459="Brand","Brand — already winning",IF(AND(E459&lt;=10,D459&lt;0.02,C459&gt;=200),"Ranks page 1 but no clicks → fix title/meta",IF(AND(E459&gt;10,E459&lt;=20,C459&gt;=200),"Page 2 → deepen content / add article",IF(E459&gt;20,"Weak — needs dedicated page","OK"))))</f>
        <v>Weak — needs dedicated page</v>
      </c>
    </row>
    <row r="460" customFormat="false" ht="15" hidden="false" customHeight="false" outlineLevel="0" collapsed="false">
      <c r="A460" s="6" t="s">
        <v>518</v>
      </c>
      <c r="B460" s="6" t="n">
        <v>0</v>
      </c>
      <c r="C460" s="6" t="n">
        <v>141</v>
      </c>
      <c r="D460" s="7" t="n">
        <v>0</v>
      </c>
      <c r="E460" s="8" t="n">
        <v>57.84</v>
      </c>
      <c r="F460" s="6" t="s">
        <v>68</v>
      </c>
      <c r="G460" s="6" t="n">
        <f aca="false">IF(AND(E460&gt;=3,E460&lt;=20),ROUND(C460*(1-D460)*(1/E460),0),0)</f>
        <v>0</v>
      </c>
      <c r="H460" s="6" t="str">
        <f aca="false">IF(F460="Brand","Brand — already winning",IF(AND(E460&lt;=10,D460&lt;0.02,C460&gt;=200),"Ranks page 1 but no clicks → fix title/meta",IF(AND(E460&gt;10,E460&lt;=20,C460&gt;=200),"Page 2 → deepen content / add article",IF(E460&gt;20,"Weak — needs dedicated page","OK"))))</f>
        <v>Weak — needs dedicated page</v>
      </c>
    </row>
    <row r="461" customFormat="false" ht="15" hidden="false" customHeight="false" outlineLevel="0" collapsed="false">
      <c r="A461" s="6" t="s">
        <v>519</v>
      </c>
      <c r="B461" s="6" t="n">
        <v>0</v>
      </c>
      <c r="C461" s="6" t="n">
        <v>138</v>
      </c>
      <c r="D461" s="7" t="n">
        <v>0</v>
      </c>
      <c r="E461" s="8" t="n">
        <v>11.67</v>
      </c>
      <c r="F461" s="6" t="s">
        <v>90</v>
      </c>
      <c r="G461" s="6" t="n">
        <f aca="false">IF(AND(E461&gt;=3,E461&lt;=20),ROUND(C461*(1-D461)*(1/E461),0),0)</f>
        <v>12</v>
      </c>
      <c r="H461" s="6" t="str">
        <f aca="false">IF(F461="Brand","Brand — already winning",IF(AND(E461&lt;=10,D461&lt;0.02,C461&gt;=200),"Ranks page 1 but no clicks → fix title/meta",IF(AND(E461&gt;10,E461&lt;=20,C461&gt;=200),"Page 2 → deepen content / add article",IF(E461&gt;20,"Weak — needs dedicated page","OK"))))</f>
        <v>OK</v>
      </c>
    </row>
    <row r="462" customFormat="false" ht="15" hidden="false" customHeight="false" outlineLevel="0" collapsed="false">
      <c r="A462" s="6" t="s">
        <v>520</v>
      </c>
      <c r="B462" s="6" t="n">
        <v>0</v>
      </c>
      <c r="C462" s="6" t="n">
        <v>138</v>
      </c>
      <c r="D462" s="7" t="n">
        <v>0</v>
      </c>
      <c r="E462" s="8" t="n">
        <v>33.14</v>
      </c>
      <c r="F462" s="6" t="s">
        <v>56</v>
      </c>
      <c r="G462" s="6" t="n">
        <f aca="false">IF(AND(E462&gt;=3,E462&lt;=20),ROUND(C462*(1-D462)*(1/E462),0),0)</f>
        <v>0</v>
      </c>
      <c r="H462" s="6" t="str">
        <f aca="false">IF(F462="Brand","Brand — already winning",IF(AND(E462&lt;=10,D462&lt;0.02,C462&gt;=200),"Ranks page 1 but no clicks → fix title/meta",IF(AND(E462&gt;10,E462&lt;=20,C462&gt;=200),"Page 2 → deepen content / add article",IF(E462&gt;20,"Weak — needs dedicated page","OK"))))</f>
        <v>Weak — needs dedicated page</v>
      </c>
    </row>
    <row r="463" customFormat="false" ht="15" hidden="false" customHeight="false" outlineLevel="0" collapsed="false">
      <c r="A463" s="6" t="s">
        <v>521</v>
      </c>
      <c r="B463" s="6" t="n">
        <v>0</v>
      </c>
      <c r="C463" s="6" t="n">
        <v>138</v>
      </c>
      <c r="D463" s="7" t="n">
        <v>0</v>
      </c>
      <c r="E463" s="8" t="n">
        <v>42.82</v>
      </c>
      <c r="F463" s="6" t="s">
        <v>58</v>
      </c>
      <c r="G463" s="6" t="n">
        <f aca="false">IF(AND(E463&gt;=3,E463&lt;=20),ROUND(C463*(1-D463)*(1/E463),0),0)</f>
        <v>0</v>
      </c>
      <c r="H463" s="6" t="str">
        <f aca="false">IF(F463="Brand","Brand — already winning",IF(AND(E463&lt;=10,D463&lt;0.02,C463&gt;=200),"Ranks page 1 but no clicks → fix title/meta",IF(AND(E463&gt;10,E463&lt;=20,C463&gt;=200),"Page 2 → deepen content / add article",IF(E463&gt;20,"Weak — needs dedicated page","OK"))))</f>
        <v>Weak — needs dedicated page</v>
      </c>
    </row>
    <row r="464" customFormat="false" ht="15" hidden="false" customHeight="false" outlineLevel="0" collapsed="false">
      <c r="A464" s="6" t="s">
        <v>522</v>
      </c>
      <c r="B464" s="6" t="n">
        <v>0</v>
      </c>
      <c r="C464" s="6" t="n">
        <v>136</v>
      </c>
      <c r="D464" s="7" t="n">
        <v>0</v>
      </c>
      <c r="E464" s="8" t="n">
        <v>3.09</v>
      </c>
      <c r="F464" s="6" t="s">
        <v>78</v>
      </c>
      <c r="G464" s="6" t="n">
        <f aca="false">IF(AND(E464&gt;=3,E464&lt;=20),ROUND(C464*(1-D464)*(1/E464),0),0)</f>
        <v>44</v>
      </c>
      <c r="H464" s="6" t="str">
        <f aca="false">IF(F464="Brand","Brand — already winning",IF(AND(E464&lt;=10,D464&lt;0.02,C464&gt;=200),"Ranks page 1 but no clicks → fix title/meta",IF(AND(E464&gt;10,E464&lt;=20,C464&gt;=200),"Page 2 → deepen content / add article",IF(E464&gt;20,"Weak — needs dedicated page","OK"))))</f>
        <v>OK</v>
      </c>
    </row>
    <row r="465" customFormat="false" ht="15" hidden="false" customHeight="false" outlineLevel="0" collapsed="false">
      <c r="A465" s="6" t="s">
        <v>523</v>
      </c>
      <c r="B465" s="6" t="n">
        <v>0</v>
      </c>
      <c r="C465" s="6" t="n">
        <v>136</v>
      </c>
      <c r="D465" s="7" t="n">
        <v>0</v>
      </c>
      <c r="E465" s="8" t="n">
        <v>10.02</v>
      </c>
      <c r="F465" s="6" t="s">
        <v>58</v>
      </c>
      <c r="G465" s="6" t="n">
        <f aca="false">IF(AND(E465&gt;=3,E465&lt;=20),ROUND(C465*(1-D465)*(1/E465),0),0)</f>
        <v>14</v>
      </c>
      <c r="H465" s="6" t="str">
        <f aca="false">IF(F465="Brand","Brand — already winning",IF(AND(E465&lt;=10,D465&lt;0.02,C465&gt;=200),"Ranks page 1 but no clicks → fix title/meta",IF(AND(E465&gt;10,E465&lt;=20,C465&gt;=200),"Page 2 → deepen content / add article",IF(E465&gt;20,"Weak — needs dedicated page","OK"))))</f>
        <v>OK</v>
      </c>
    </row>
    <row r="466" customFormat="false" ht="15" hidden="false" customHeight="false" outlineLevel="0" collapsed="false">
      <c r="A466" s="6" t="s">
        <v>524</v>
      </c>
      <c r="B466" s="6" t="n">
        <v>0</v>
      </c>
      <c r="C466" s="6" t="n">
        <v>136</v>
      </c>
      <c r="D466" s="7" t="n">
        <v>0</v>
      </c>
      <c r="E466" s="8" t="n">
        <v>27.6</v>
      </c>
      <c r="F466" s="6" t="s">
        <v>43</v>
      </c>
      <c r="G466" s="6" t="n">
        <f aca="false">IF(AND(E466&gt;=3,E466&lt;=20),ROUND(C466*(1-D466)*(1/E466),0),0)</f>
        <v>0</v>
      </c>
      <c r="H466" s="6" t="str">
        <f aca="false">IF(F466="Brand","Brand — already winning",IF(AND(E466&lt;=10,D466&lt;0.02,C466&gt;=200),"Ranks page 1 but no clicks → fix title/meta",IF(AND(E466&gt;10,E466&lt;=20,C466&gt;=200),"Page 2 → deepen content / add article",IF(E466&gt;20,"Weak — needs dedicated page","OK"))))</f>
        <v>Brand — already winning</v>
      </c>
    </row>
    <row r="467" customFormat="false" ht="15" hidden="false" customHeight="false" outlineLevel="0" collapsed="false">
      <c r="A467" s="6" t="s">
        <v>525</v>
      </c>
      <c r="B467" s="6" t="n">
        <v>0</v>
      </c>
      <c r="C467" s="6" t="n">
        <v>132</v>
      </c>
      <c r="D467" s="7" t="n">
        <v>0</v>
      </c>
      <c r="E467" s="8" t="n">
        <v>6.17</v>
      </c>
      <c r="F467" s="6" t="s">
        <v>48</v>
      </c>
      <c r="G467" s="6" t="n">
        <f aca="false">IF(AND(E467&gt;=3,E467&lt;=20),ROUND(C467*(1-D467)*(1/E467),0),0)</f>
        <v>21</v>
      </c>
      <c r="H467" s="6" t="str">
        <f aca="false">IF(F467="Brand","Brand — already winning",IF(AND(E467&lt;=10,D467&lt;0.02,C467&gt;=200),"Ranks page 1 but no clicks → fix title/meta",IF(AND(E467&gt;10,E467&lt;=20,C467&gt;=200),"Page 2 → deepen content / add article",IF(E467&gt;20,"Weak — needs dedicated page","OK"))))</f>
        <v>OK</v>
      </c>
    </row>
    <row r="468" customFormat="false" ht="15" hidden="false" customHeight="false" outlineLevel="0" collapsed="false">
      <c r="A468" s="6" t="s">
        <v>526</v>
      </c>
      <c r="B468" s="6" t="n">
        <v>0</v>
      </c>
      <c r="C468" s="6" t="n">
        <v>132</v>
      </c>
      <c r="D468" s="7" t="n">
        <v>0</v>
      </c>
      <c r="E468" s="8" t="n">
        <v>54.27</v>
      </c>
      <c r="F468" s="6" t="s">
        <v>58</v>
      </c>
      <c r="G468" s="6" t="n">
        <f aca="false">IF(AND(E468&gt;=3,E468&lt;=20),ROUND(C468*(1-D468)*(1/E468),0),0)</f>
        <v>0</v>
      </c>
      <c r="H468" s="6" t="str">
        <f aca="false">IF(F468="Brand","Brand — already winning",IF(AND(E468&lt;=10,D468&lt;0.02,C468&gt;=200),"Ranks page 1 but no clicks → fix title/meta",IF(AND(E468&gt;10,E468&lt;=20,C468&gt;=200),"Page 2 → deepen content / add article",IF(E468&gt;20,"Weak — needs dedicated page","OK"))))</f>
        <v>Weak — needs dedicated page</v>
      </c>
    </row>
    <row r="469" customFormat="false" ht="15" hidden="false" customHeight="false" outlineLevel="0" collapsed="false">
      <c r="A469" s="6" t="s">
        <v>527</v>
      </c>
      <c r="B469" s="6" t="n">
        <v>0</v>
      </c>
      <c r="C469" s="6" t="n">
        <v>131</v>
      </c>
      <c r="D469" s="7" t="n">
        <v>0</v>
      </c>
      <c r="E469" s="8" t="n">
        <v>25.68</v>
      </c>
      <c r="F469" s="6" t="s">
        <v>68</v>
      </c>
      <c r="G469" s="6" t="n">
        <f aca="false">IF(AND(E469&gt;=3,E469&lt;=20),ROUND(C469*(1-D469)*(1/E469),0),0)</f>
        <v>0</v>
      </c>
      <c r="H469" s="6" t="str">
        <f aca="false">IF(F469="Brand","Brand — already winning",IF(AND(E469&lt;=10,D469&lt;0.02,C469&gt;=200),"Ranks page 1 but no clicks → fix title/meta",IF(AND(E469&gt;10,E469&lt;=20,C469&gt;=200),"Page 2 → deepen content / add article",IF(E469&gt;20,"Weak — needs dedicated page","OK"))))</f>
        <v>Weak — needs dedicated page</v>
      </c>
    </row>
    <row r="470" customFormat="false" ht="15" hidden="false" customHeight="false" outlineLevel="0" collapsed="false">
      <c r="A470" s="6" t="s">
        <v>528</v>
      </c>
      <c r="B470" s="6" t="n">
        <v>0</v>
      </c>
      <c r="C470" s="6" t="n">
        <v>130</v>
      </c>
      <c r="D470" s="7" t="n">
        <v>0</v>
      </c>
      <c r="E470" s="8" t="n">
        <v>24.48</v>
      </c>
      <c r="F470" s="6" t="s">
        <v>56</v>
      </c>
      <c r="G470" s="6" t="n">
        <f aca="false">IF(AND(E470&gt;=3,E470&lt;=20),ROUND(C470*(1-D470)*(1/E470),0),0)</f>
        <v>0</v>
      </c>
      <c r="H470" s="6" t="str">
        <f aca="false">IF(F470="Brand","Brand — already winning",IF(AND(E470&lt;=10,D470&lt;0.02,C470&gt;=200),"Ranks page 1 but no clicks → fix title/meta",IF(AND(E470&gt;10,E470&lt;=20,C470&gt;=200),"Page 2 → deepen content / add article",IF(E470&gt;20,"Weak — needs dedicated page","OK"))))</f>
        <v>Weak — needs dedicated page</v>
      </c>
    </row>
    <row r="471" customFormat="false" ht="15" hidden="false" customHeight="false" outlineLevel="0" collapsed="false">
      <c r="A471" s="6" t="s">
        <v>529</v>
      </c>
      <c r="B471" s="6" t="n">
        <v>0</v>
      </c>
      <c r="C471" s="6" t="n">
        <v>130</v>
      </c>
      <c r="D471" s="7" t="n">
        <v>0</v>
      </c>
      <c r="E471" s="8" t="n">
        <v>52.64</v>
      </c>
      <c r="F471" s="6" t="s">
        <v>56</v>
      </c>
      <c r="G471" s="6" t="n">
        <f aca="false">IF(AND(E471&gt;=3,E471&lt;=20),ROUND(C471*(1-D471)*(1/E471),0),0)</f>
        <v>0</v>
      </c>
      <c r="H471" s="6" t="str">
        <f aca="false">IF(F471="Brand","Brand — already winning",IF(AND(E471&lt;=10,D471&lt;0.02,C471&gt;=200),"Ranks page 1 but no clicks → fix title/meta",IF(AND(E471&gt;10,E471&lt;=20,C471&gt;=200),"Page 2 → deepen content / add article",IF(E471&gt;20,"Weak — needs dedicated page","OK"))))</f>
        <v>Weak — needs dedicated page</v>
      </c>
    </row>
    <row r="472" customFormat="false" ht="15" hidden="false" customHeight="false" outlineLevel="0" collapsed="false">
      <c r="A472" s="6" t="s">
        <v>530</v>
      </c>
      <c r="B472" s="6" t="n">
        <v>0</v>
      </c>
      <c r="C472" s="6" t="n">
        <v>129</v>
      </c>
      <c r="D472" s="7" t="n">
        <v>0</v>
      </c>
      <c r="E472" s="8" t="n">
        <v>10.05</v>
      </c>
      <c r="F472" s="6" t="s">
        <v>48</v>
      </c>
      <c r="G472" s="6" t="n">
        <f aca="false">IF(AND(E472&gt;=3,E472&lt;=20),ROUND(C472*(1-D472)*(1/E472),0),0)</f>
        <v>13</v>
      </c>
      <c r="H472" s="6" t="str">
        <f aca="false">IF(F472="Brand","Brand — already winning",IF(AND(E472&lt;=10,D472&lt;0.02,C472&gt;=200),"Ranks page 1 but no clicks → fix title/meta",IF(AND(E472&gt;10,E472&lt;=20,C472&gt;=200),"Page 2 → deepen content / add article",IF(E472&gt;20,"Weak — needs dedicated page","OK"))))</f>
        <v>OK</v>
      </c>
    </row>
    <row r="473" customFormat="false" ht="15" hidden="false" customHeight="false" outlineLevel="0" collapsed="false">
      <c r="A473" s="6" t="s">
        <v>531</v>
      </c>
      <c r="B473" s="6" t="n">
        <v>0</v>
      </c>
      <c r="C473" s="6" t="n">
        <v>128</v>
      </c>
      <c r="D473" s="7" t="n">
        <v>0</v>
      </c>
      <c r="E473" s="8" t="n">
        <v>11.83</v>
      </c>
      <c r="F473" s="6" t="s">
        <v>63</v>
      </c>
      <c r="G473" s="6" t="n">
        <f aca="false">IF(AND(E473&gt;=3,E473&lt;=20),ROUND(C473*(1-D473)*(1/E473),0),0)</f>
        <v>11</v>
      </c>
      <c r="H473" s="6" t="str">
        <f aca="false">IF(F473="Brand","Brand — already winning",IF(AND(E473&lt;=10,D473&lt;0.02,C473&gt;=200),"Ranks page 1 but no clicks → fix title/meta",IF(AND(E473&gt;10,E473&lt;=20,C473&gt;=200),"Page 2 → deepen content / add article",IF(E473&gt;20,"Weak — needs dedicated page","OK"))))</f>
        <v>OK</v>
      </c>
    </row>
    <row r="474" customFormat="false" ht="15" hidden="false" customHeight="false" outlineLevel="0" collapsed="false">
      <c r="A474" s="6" t="s">
        <v>532</v>
      </c>
      <c r="B474" s="6" t="n">
        <v>0</v>
      </c>
      <c r="C474" s="6" t="n">
        <v>128</v>
      </c>
      <c r="D474" s="7" t="n">
        <v>0</v>
      </c>
      <c r="E474" s="8" t="n">
        <v>48.81</v>
      </c>
      <c r="F474" s="6" t="s">
        <v>68</v>
      </c>
      <c r="G474" s="6" t="n">
        <f aca="false">IF(AND(E474&gt;=3,E474&lt;=20),ROUND(C474*(1-D474)*(1/E474),0),0)</f>
        <v>0</v>
      </c>
      <c r="H474" s="6" t="str">
        <f aca="false">IF(F474="Brand","Brand — already winning",IF(AND(E474&lt;=10,D474&lt;0.02,C474&gt;=200),"Ranks page 1 but no clicks → fix title/meta",IF(AND(E474&gt;10,E474&lt;=20,C474&gt;=200),"Page 2 → deepen content / add article",IF(E474&gt;20,"Weak — needs dedicated page","OK"))))</f>
        <v>Weak — needs dedicated page</v>
      </c>
    </row>
    <row r="475" customFormat="false" ht="15" hidden="false" customHeight="false" outlineLevel="0" collapsed="false">
      <c r="A475" s="6" t="s">
        <v>533</v>
      </c>
      <c r="B475" s="6" t="n">
        <v>0</v>
      </c>
      <c r="C475" s="6" t="n">
        <v>127</v>
      </c>
      <c r="D475" s="7" t="n">
        <v>0</v>
      </c>
      <c r="E475" s="8" t="n">
        <v>10.82</v>
      </c>
      <c r="F475" s="6" t="s">
        <v>48</v>
      </c>
      <c r="G475" s="6" t="n">
        <f aca="false">IF(AND(E475&gt;=3,E475&lt;=20),ROUND(C475*(1-D475)*(1/E475),0),0)</f>
        <v>12</v>
      </c>
      <c r="H475" s="6" t="str">
        <f aca="false">IF(F475="Brand","Brand — already winning",IF(AND(E475&lt;=10,D475&lt;0.02,C475&gt;=200),"Ranks page 1 but no clicks → fix title/meta",IF(AND(E475&gt;10,E475&lt;=20,C475&gt;=200),"Page 2 → deepen content / add article",IF(E475&gt;20,"Weak — needs dedicated page","OK"))))</f>
        <v>OK</v>
      </c>
    </row>
    <row r="476" customFormat="false" ht="15" hidden="false" customHeight="false" outlineLevel="0" collapsed="false">
      <c r="A476" s="6" t="s">
        <v>534</v>
      </c>
      <c r="B476" s="6" t="n">
        <v>0</v>
      </c>
      <c r="C476" s="6" t="n">
        <v>127</v>
      </c>
      <c r="D476" s="7" t="n">
        <v>0</v>
      </c>
      <c r="E476" s="8" t="n">
        <v>37</v>
      </c>
      <c r="F476" s="6" t="s">
        <v>56</v>
      </c>
      <c r="G476" s="6" t="n">
        <f aca="false">IF(AND(E476&gt;=3,E476&lt;=20),ROUND(C476*(1-D476)*(1/E476),0),0)</f>
        <v>0</v>
      </c>
      <c r="H476" s="6" t="str">
        <f aca="false">IF(F476="Brand","Brand — already winning",IF(AND(E476&lt;=10,D476&lt;0.02,C476&gt;=200),"Ranks page 1 but no clicks → fix title/meta",IF(AND(E476&gt;10,E476&lt;=20,C476&gt;=200),"Page 2 → deepen content / add article",IF(E476&gt;20,"Weak — needs dedicated page","OK"))))</f>
        <v>Weak — needs dedicated page</v>
      </c>
    </row>
    <row r="477" customFormat="false" ht="15" hidden="false" customHeight="false" outlineLevel="0" collapsed="false">
      <c r="A477" s="6" t="s">
        <v>535</v>
      </c>
      <c r="B477" s="6" t="n">
        <v>0</v>
      </c>
      <c r="C477" s="6" t="n">
        <v>127</v>
      </c>
      <c r="D477" s="7" t="n">
        <v>0</v>
      </c>
      <c r="E477" s="8" t="n">
        <v>58.94</v>
      </c>
      <c r="F477" s="6" t="s">
        <v>48</v>
      </c>
      <c r="G477" s="6" t="n">
        <f aca="false">IF(AND(E477&gt;=3,E477&lt;=20),ROUND(C477*(1-D477)*(1/E477),0),0)</f>
        <v>0</v>
      </c>
      <c r="H477" s="6" t="str">
        <f aca="false">IF(F477="Brand","Brand — already winning",IF(AND(E477&lt;=10,D477&lt;0.02,C477&gt;=200),"Ranks page 1 but no clicks → fix title/meta",IF(AND(E477&gt;10,E477&lt;=20,C477&gt;=200),"Page 2 → deepen content / add article",IF(E477&gt;20,"Weak — needs dedicated page","OK"))))</f>
        <v>Weak — needs dedicated page</v>
      </c>
    </row>
    <row r="478" customFormat="false" ht="15" hidden="false" customHeight="false" outlineLevel="0" collapsed="false">
      <c r="A478" s="6" t="s">
        <v>536</v>
      </c>
      <c r="B478" s="6" t="n">
        <v>0</v>
      </c>
      <c r="C478" s="6" t="n">
        <v>125</v>
      </c>
      <c r="D478" s="7" t="n">
        <v>0</v>
      </c>
      <c r="E478" s="8" t="n">
        <v>8.78</v>
      </c>
      <c r="F478" s="6" t="s">
        <v>90</v>
      </c>
      <c r="G478" s="6" t="n">
        <f aca="false">IF(AND(E478&gt;=3,E478&lt;=20),ROUND(C478*(1-D478)*(1/E478),0),0)</f>
        <v>14</v>
      </c>
      <c r="H478" s="6" t="str">
        <f aca="false">IF(F478="Brand","Brand — already winning",IF(AND(E478&lt;=10,D478&lt;0.02,C478&gt;=200),"Ranks page 1 but no clicks → fix title/meta",IF(AND(E478&gt;10,E478&lt;=20,C478&gt;=200),"Page 2 → deepen content / add article",IF(E478&gt;20,"Weak — needs dedicated page","OK"))))</f>
        <v>OK</v>
      </c>
    </row>
    <row r="479" customFormat="false" ht="15" hidden="false" customHeight="false" outlineLevel="0" collapsed="false">
      <c r="A479" s="6" t="s">
        <v>537</v>
      </c>
      <c r="B479" s="6" t="n">
        <v>0</v>
      </c>
      <c r="C479" s="6" t="n">
        <v>125</v>
      </c>
      <c r="D479" s="7" t="n">
        <v>0</v>
      </c>
      <c r="E479" s="8" t="n">
        <v>30.28</v>
      </c>
      <c r="F479" s="6" t="s">
        <v>48</v>
      </c>
      <c r="G479" s="6" t="n">
        <f aca="false">IF(AND(E479&gt;=3,E479&lt;=20),ROUND(C479*(1-D479)*(1/E479),0),0)</f>
        <v>0</v>
      </c>
      <c r="H479" s="6" t="str">
        <f aca="false">IF(F479="Brand","Brand — already winning",IF(AND(E479&lt;=10,D479&lt;0.02,C479&gt;=200),"Ranks page 1 but no clicks → fix title/meta",IF(AND(E479&gt;10,E479&lt;=20,C479&gt;=200),"Page 2 → deepen content / add article",IF(E479&gt;20,"Weak — needs dedicated page","OK"))))</f>
        <v>Weak — needs dedicated page</v>
      </c>
    </row>
    <row r="480" customFormat="false" ht="15" hidden="false" customHeight="false" outlineLevel="0" collapsed="false">
      <c r="A480" s="6" t="s">
        <v>538</v>
      </c>
      <c r="B480" s="6" t="n">
        <v>0</v>
      </c>
      <c r="C480" s="6" t="n">
        <v>125</v>
      </c>
      <c r="D480" s="7" t="n">
        <v>0</v>
      </c>
      <c r="E480" s="8" t="n">
        <v>36.14</v>
      </c>
      <c r="F480" s="6" t="s">
        <v>56</v>
      </c>
      <c r="G480" s="6" t="n">
        <f aca="false">IF(AND(E480&gt;=3,E480&lt;=20),ROUND(C480*(1-D480)*(1/E480),0),0)</f>
        <v>0</v>
      </c>
      <c r="H480" s="6" t="str">
        <f aca="false">IF(F480="Brand","Brand — already winning",IF(AND(E480&lt;=10,D480&lt;0.02,C480&gt;=200),"Ranks page 1 but no clicks → fix title/meta",IF(AND(E480&gt;10,E480&lt;=20,C480&gt;=200),"Page 2 → deepen content / add article",IF(E480&gt;20,"Weak — needs dedicated page","OK"))))</f>
        <v>Weak — needs dedicated page</v>
      </c>
    </row>
    <row r="481" customFormat="false" ht="15" hidden="false" customHeight="false" outlineLevel="0" collapsed="false">
      <c r="A481" s="6" t="s">
        <v>539</v>
      </c>
      <c r="B481" s="6" t="n">
        <v>0</v>
      </c>
      <c r="C481" s="6" t="n">
        <v>123</v>
      </c>
      <c r="D481" s="7" t="n">
        <v>0</v>
      </c>
      <c r="E481" s="8" t="n">
        <v>16.8</v>
      </c>
      <c r="F481" s="6" t="s">
        <v>63</v>
      </c>
      <c r="G481" s="6" t="n">
        <f aca="false">IF(AND(E481&gt;=3,E481&lt;=20),ROUND(C481*(1-D481)*(1/E481),0),0)</f>
        <v>7</v>
      </c>
      <c r="H481" s="6" t="str">
        <f aca="false">IF(F481="Brand","Brand — already winning",IF(AND(E481&lt;=10,D481&lt;0.02,C481&gt;=200),"Ranks page 1 but no clicks → fix title/meta",IF(AND(E481&gt;10,E481&lt;=20,C481&gt;=200),"Page 2 → deepen content / add article",IF(E481&gt;20,"Weak — needs dedicated page","OK"))))</f>
        <v>OK</v>
      </c>
    </row>
    <row r="482" customFormat="false" ht="15" hidden="false" customHeight="false" outlineLevel="0" collapsed="false">
      <c r="A482" s="6" t="s">
        <v>540</v>
      </c>
      <c r="B482" s="6" t="n">
        <v>0</v>
      </c>
      <c r="C482" s="6" t="n">
        <v>122</v>
      </c>
      <c r="D482" s="7" t="n">
        <v>0</v>
      </c>
      <c r="E482" s="8" t="n">
        <v>42.01</v>
      </c>
      <c r="F482" s="6" t="s">
        <v>78</v>
      </c>
      <c r="G482" s="6" t="n">
        <f aca="false">IF(AND(E482&gt;=3,E482&lt;=20),ROUND(C482*(1-D482)*(1/E482),0),0)</f>
        <v>0</v>
      </c>
      <c r="H482" s="6" t="str">
        <f aca="false">IF(F482="Brand","Brand — already winning",IF(AND(E482&lt;=10,D482&lt;0.02,C482&gt;=200),"Ranks page 1 but no clicks → fix title/meta",IF(AND(E482&gt;10,E482&lt;=20,C482&gt;=200),"Page 2 → deepen content / add article",IF(E482&gt;20,"Weak — needs dedicated page","OK"))))</f>
        <v>Weak — needs dedicated page</v>
      </c>
    </row>
    <row r="483" customFormat="false" ht="15" hidden="false" customHeight="false" outlineLevel="0" collapsed="false">
      <c r="A483" s="6" t="s">
        <v>541</v>
      </c>
      <c r="B483" s="6" t="n">
        <v>0</v>
      </c>
      <c r="C483" s="6" t="n">
        <v>121</v>
      </c>
      <c r="D483" s="7" t="n">
        <v>0</v>
      </c>
      <c r="E483" s="8" t="n">
        <v>9.01</v>
      </c>
      <c r="F483" s="6" t="s">
        <v>88</v>
      </c>
      <c r="G483" s="6" t="n">
        <f aca="false">IF(AND(E483&gt;=3,E483&lt;=20),ROUND(C483*(1-D483)*(1/E483),0),0)</f>
        <v>13</v>
      </c>
      <c r="H483" s="6" t="str">
        <f aca="false">IF(F483="Brand","Brand — already winning",IF(AND(E483&lt;=10,D483&lt;0.02,C483&gt;=200),"Ranks page 1 but no clicks → fix title/meta",IF(AND(E483&gt;10,E483&lt;=20,C483&gt;=200),"Page 2 → deepen content / add article",IF(E483&gt;20,"Weak — needs dedicated page","OK"))))</f>
        <v>OK</v>
      </c>
    </row>
    <row r="484" customFormat="false" ht="15" hidden="false" customHeight="false" outlineLevel="0" collapsed="false">
      <c r="A484" s="6" t="s">
        <v>542</v>
      </c>
      <c r="B484" s="6" t="n">
        <v>0</v>
      </c>
      <c r="C484" s="6" t="n">
        <v>121</v>
      </c>
      <c r="D484" s="7" t="n">
        <v>0</v>
      </c>
      <c r="E484" s="8" t="n">
        <v>13.12</v>
      </c>
      <c r="F484" s="6" t="s">
        <v>48</v>
      </c>
      <c r="G484" s="6" t="n">
        <f aca="false">IF(AND(E484&gt;=3,E484&lt;=20),ROUND(C484*(1-D484)*(1/E484),0),0)</f>
        <v>9</v>
      </c>
      <c r="H484" s="6" t="str">
        <f aca="false">IF(F484="Brand","Brand — already winning",IF(AND(E484&lt;=10,D484&lt;0.02,C484&gt;=200),"Ranks page 1 but no clicks → fix title/meta",IF(AND(E484&gt;10,E484&lt;=20,C484&gt;=200),"Page 2 → deepen content / add article",IF(E484&gt;20,"Weak — needs dedicated page","OK"))))</f>
        <v>OK</v>
      </c>
    </row>
    <row r="485" customFormat="false" ht="15" hidden="false" customHeight="false" outlineLevel="0" collapsed="false">
      <c r="A485" s="6" t="s">
        <v>543</v>
      </c>
      <c r="B485" s="6" t="n">
        <v>0</v>
      </c>
      <c r="C485" s="6" t="n">
        <v>120</v>
      </c>
      <c r="D485" s="7" t="n">
        <v>0</v>
      </c>
      <c r="E485" s="8" t="n">
        <v>6.14</v>
      </c>
      <c r="F485" s="6" t="s">
        <v>48</v>
      </c>
      <c r="G485" s="6" t="n">
        <f aca="false">IF(AND(E485&gt;=3,E485&lt;=20),ROUND(C485*(1-D485)*(1/E485),0),0)</f>
        <v>20</v>
      </c>
      <c r="H485" s="6" t="str">
        <f aca="false">IF(F485="Brand","Brand — already winning",IF(AND(E485&lt;=10,D485&lt;0.02,C485&gt;=200),"Ranks page 1 but no clicks → fix title/meta",IF(AND(E485&gt;10,E485&lt;=20,C485&gt;=200),"Page 2 → deepen content / add article",IF(E485&gt;20,"Weak — needs dedicated page","OK"))))</f>
        <v>OK</v>
      </c>
    </row>
    <row r="486" customFormat="false" ht="15" hidden="false" customHeight="false" outlineLevel="0" collapsed="false">
      <c r="A486" s="6" t="s">
        <v>544</v>
      </c>
      <c r="B486" s="6" t="n">
        <v>0</v>
      </c>
      <c r="C486" s="6" t="n">
        <v>120</v>
      </c>
      <c r="D486" s="7" t="n">
        <v>0</v>
      </c>
      <c r="E486" s="8" t="n">
        <v>8.49</v>
      </c>
      <c r="F486" s="6" t="s">
        <v>90</v>
      </c>
      <c r="G486" s="6" t="n">
        <f aca="false">IF(AND(E486&gt;=3,E486&lt;=20),ROUND(C486*(1-D486)*(1/E486),0),0)</f>
        <v>14</v>
      </c>
      <c r="H486" s="6" t="str">
        <f aca="false">IF(F486="Brand","Brand — already winning",IF(AND(E486&lt;=10,D486&lt;0.02,C486&gt;=200),"Ranks page 1 but no clicks → fix title/meta",IF(AND(E486&gt;10,E486&lt;=20,C486&gt;=200),"Page 2 → deepen content / add article",IF(E486&gt;20,"Weak — needs dedicated page","OK"))))</f>
        <v>OK</v>
      </c>
    </row>
    <row r="487" customFormat="false" ht="15" hidden="false" customHeight="false" outlineLevel="0" collapsed="false">
      <c r="A487" s="6" t="s">
        <v>545</v>
      </c>
      <c r="B487" s="6" t="n">
        <v>0</v>
      </c>
      <c r="C487" s="6" t="n">
        <v>120</v>
      </c>
      <c r="D487" s="7" t="n">
        <v>0</v>
      </c>
      <c r="E487" s="8" t="n">
        <v>10.94</v>
      </c>
      <c r="F487" s="6" t="s">
        <v>56</v>
      </c>
      <c r="G487" s="6" t="n">
        <f aca="false">IF(AND(E487&gt;=3,E487&lt;=20),ROUND(C487*(1-D487)*(1/E487),0),0)</f>
        <v>11</v>
      </c>
      <c r="H487" s="6" t="str">
        <f aca="false">IF(F487="Brand","Brand — already winning",IF(AND(E487&lt;=10,D487&lt;0.02,C487&gt;=200),"Ranks page 1 but no clicks → fix title/meta",IF(AND(E487&gt;10,E487&lt;=20,C487&gt;=200),"Page 2 → deepen content / add article",IF(E487&gt;20,"Weak — needs dedicated page","OK"))))</f>
        <v>OK</v>
      </c>
    </row>
    <row r="488" customFormat="false" ht="15" hidden="false" customHeight="false" outlineLevel="0" collapsed="false">
      <c r="A488" s="6" t="s">
        <v>546</v>
      </c>
      <c r="B488" s="6" t="n">
        <v>0</v>
      </c>
      <c r="C488" s="6" t="n">
        <v>119</v>
      </c>
      <c r="D488" s="7" t="n">
        <v>0</v>
      </c>
      <c r="E488" s="8" t="n">
        <v>1.61</v>
      </c>
      <c r="F488" s="6" t="s">
        <v>68</v>
      </c>
      <c r="G488" s="6" t="n">
        <f aca="false">IF(AND(E488&gt;=3,E488&lt;=20),ROUND(C488*(1-D488)*(1/E488),0),0)</f>
        <v>0</v>
      </c>
      <c r="H488" s="6" t="str">
        <f aca="false">IF(F488="Brand","Brand — already winning",IF(AND(E488&lt;=10,D488&lt;0.02,C488&gt;=200),"Ranks page 1 but no clicks → fix title/meta",IF(AND(E488&gt;10,E488&lt;=20,C488&gt;=200),"Page 2 → deepen content / add article",IF(E488&gt;20,"Weak — needs dedicated page","OK"))))</f>
        <v>OK</v>
      </c>
    </row>
    <row r="489" customFormat="false" ht="15" hidden="false" customHeight="false" outlineLevel="0" collapsed="false">
      <c r="A489" s="6" t="s">
        <v>547</v>
      </c>
      <c r="B489" s="6" t="n">
        <v>0</v>
      </c>
      <c r="C489" s="6" t="n">
        <v>119</v>
      </c>
      <c r="D489" s="7" t="n">
        <v>0</v>
      </c>
      <c r="E489" s="8" t="n">
        <v>14.24</v>
      </c>
      <c r="F489" s="6" t="s">
        <v>78</v>
      </c>
      <c r="G489" s="6" t="n">
        <f aca="false">IF(AND(E489&gt;=3,E489&lt;=20),ROUND(C489*(1-D489)*(1/E489),0),0)</f>
        <v>8</v>
      </c>
      <c r="H489" s="6" t="str">
        <f aca="false">IF(F489="Brand","Brand — already winning",IF(AND(E489&lt;=10,D489&lt;0.02,C489&gt;=200),"Ranks page 1 but no clicks → fix title/meta",IF(AND(E489&gt;10,E489&lt;=20,C489&gt;=200),"Page 2 → deepen content / add article",IF(E489&gt;20,"Weak — needs dedicated page","OK"))))</f>
        <v>OK</v>
      </c>
    </row>
    <row r="490" customFormat="false" ht="15" hidden="false" customHeight="false" outlineLevel="0" collapsed="false">
      <c r="A490" s="6" t="s">
        <v>548</v>
      </c>
      <c r="B490" s="6" t="n">
        <v>0</v>
      </c>
      <c r="C490" s="6" t="n">
        <v>119</v>
      </c>
      <c r="D490" s="7" t="n">
        <v>0</v>
      </c>
      <c r="E490" s="8" t="n">
        <v>55.46</v>
      </c>
      <c r="F490" s="6" t="s">
        <v>68</v>
      </c>
      <c r="G490" s="6" t="n">
        <f aca="false">IF(AND(E490&gt;=3,E490&lt;=20),ROUND(C490*(1-D490)*(1/E490),0),0)</f>
        <v>0</v>
      </c>
      <c r="H490" s="6" t="str">
        <f aca="false">IF(F490="Brand","Brand — already winning",IF(AND(E490&lt;=10,D490&lt;0.02,C490&gt;=200),"Ranks page 1 but no clicks → fix title/meta",IF(AND(E490&gt;10,E490&lt;=20,C490&gt;=200),"Page 2 → deepen content / add article",IF(E490&gt;20,"Weak — needs dedicated page","OK"))))</f>
        <v>Weak — needs dedicated page</v>
      </c>
    </row>
    <row r="491" customFormat="false" ht="15" hidden="false" customHeight="false" outlineLevel="0" collapsed="false">
      <c r="A491" s="6" t="s">
        <v>549</v>
      </c>
      <c r="B491" s="6" t="n">
        <v>0</v>
      </c>
      <c r="C491" s="6" t="n">
        <v>117</v>
      </c>
      <c r="D491" s="7" t="n">
        <v>0</v>
      </c>
      <c r="E491" s="8" t="n">
        <v>3.22</v>
      </c>
      <c r="F491" s="6" t="s">
        <v>48</v>
      </c>
      <c r="G491" s="6" t="n">
        <f aca="false">IF(AND(E491&gt;=3,E491&lt;=20),ROUND(C491*(1-D491)*(1/E491),0),0)</f>
        <v>36</v>
      </c>
      <c r="H491" s="6" t="str">
        <f aca="false">IF(F491="Brand","Brand — already winning",IF(AND(E491&lt;=10,D491&lt;0.02,C491&gt;=200),"Ranks page 1 but no clicks → fix title/meta",IF(AND(E491&gt;10,E491&lt;=20,C491&gt;=200),"Page 2 → deepen content / add article",IF(E491&gt;20,"Weak — needs dedicated page","OK"))))</f>
        <v>OK</v>
      </c>
    </row>
    <row r="492" customFormat="false" ht="15" hidden="false" customHeight="false" outlineLevel="0" collapsed="false">
      <c r="A492" s="6" t="s">
        <v>550</v>
      </c>
      <c r="B492" s="6" t="n">
        <v>0</v>
      </c>
      <c r="C492" s="6" t="n">
        <v>117</v>
      </c>
      <c r="D492" s="7" t="n">
        <v>0</v>
      </c>
      <c r="E492" s="8" t="n">
        <v>6.12</v>
      </c>
      <c r="F492" s="6" t="s">
        <v>90</v>
      </c>
      <c r="G492" s="6" t="n">
        <f aca="false">IF(AND(E492&gt;=3,E492&lt;=20),ROUND(C492*(1-D492)*(1/E492),0),0)</f>
        <v>19</v>
      </c>
      <c r="H492" s="6" t="str">
        <f aca="false">IF(F492="Brand","Brand — already winning",IF(AND(E492&lt;=10,D492&lt;0.02,C492&gt;=200),"Ranks page 1 but no clicks → fix title/meta",IF(AND(E492&gt;10,E492&lt;=20,C492&gt;=200),"Page 2 → deepen content / add article",IF(E492&gt;20,"Weak — needs dedicated page","OK"))))</f>
        <v>OK</v>
      </c>
    </row>
    <row r="493" customFormat="false" ht="15" hidden="false" customHeight="false" outlineLevel="0" collapsed="false">
      <c r="A493" s="6" t="s">
        <v>551</v>
      </c>
      <c r="B493" s="6" t="n">
        <v>0</v>
      </c>
      <c r="C493" s="6" t="n">
        <v>117</v>
      </c>
      <c r="D493" s="7" t="n">
        <v>0</v>
      </c>
      <c r="E493" s="8" t="n">
        <v>8.43</v>
      </c>
      <c r="F493" s="6" t="s">
        <v>78</v>
      </c>
      <c r="G493" s="6" t="n">
        <f aca="false">IF(AND(E493&gt;=3,E493&lt;=20),ROUND(C493*(1-D493)*(1/E493),0),0)</f>
        <v>14</v>
      </c>
      <c r="H493" s="6" t="str">
        <f aca="false">IF(F493="Brand","Brand — already winning",IF(AND(E493&lt;=10,D493&lt;0.02,C493&gt;=200),"Ranks page 1 but no clicks → fix title/meta",IF(AND(E493&gt;10,E493&lt;=20,C493&gt;=200),"Page 2 → deepen content / add article",IF(E493&gt;20,"Weak — needs dedicated page","OK"))))</f>
        <v>OK</v>
      </c>
    </row>
    <row r="494" customFormat="false" ht="15" hidden="false" customHeight="false" outlineLevel="0" collapsed="false">
      <c r="A494" s="6" t="s">
        <v>552</v>
      </c>
      <c r="B494" s="6" t="n">
        <v>0</v>
      </c>
      <c r="C494" s="6" t="n">
        <v>117</v>
      </c>
      <c r="D494" s="7" t="n">
        <v>0</v>
      </c>
      <c r="E494" s="8" t="n">
        <v>16.91</v>
      </c>
      <c r="F494" s="6" t="s">
        <v>48</v>
      </c>
      <c r="G494" s="6" t="n">
        <f aca="false">IF(AND(E494&gt;=3,E494&lt;=20),ROUND(C494*(1-D494)*(1/E494),0),0)</f>
        <v>7</v>
      </c>
      <c r="H494" s="6" t="str">
        <f aca="false">IF(F494="Brand","Brand — already winning",IF(AND(E494&lt;=10,D494&lt;0.02,C494&gt;=200),"Ranks page 1 but no clicks → fix title/meta",IF(AND(E494&gt;10,E494&lt;=20,C494&gt;=200),"Page 2 → deepen content / add article",IF(E494&gt;20,"Weak — needs dedicated page","OK"))))</f>
        <v>OK</v>
      </c>
    </row>
    <row r="495" customFormat="false" ht="15" hidden="false" customHeight="false" outlineLevel="0" collapsed="false">
      <c r="A495" s="6" t="s">
        <v>553</v>
      </c>
      <c r="B495" s="6" t="n">
        <v>0</v>
      </c>
      <c r="C495" s="6" t="n">
        <v>117</v>
      </c>
      <c r="D495" s="7" t="n">
        <v>0</v>
      </c>
      <c r="E495" s="8" t="n">
        <v>35.25</v>
      </c>
      <c r="F495" s="6" t="s">
        <v>48</v>
      </c>
      <c r="G495" s="6" t="n">
        <f aca="false">IF(AND(E495&gt;=3,E495&lt;=20),ROUND(C495*(1-D495)*(1/E495),0),0)</f>
        <v>0</v>
      </c>
      <c r="H495" s="6" t="str">
        <f aca="false">IF(F495="Brand","Brand — already winning",IF(AND(E495&lt;=10,D495&lt;0.02,C495&gt;=200),"Ranks page 1 but no clicks → fix title/meta",IF(AND(E495&gt;10,E495&lt;=20,C495&gt;=200),"Page 2 → deepen content / add article",IF(E495&gt;20,"Weak — needs dedicated page","OK"))))</f>
        <v>Weak — needs dedicated page</v>
      </c>
    </row>
    <row r="496" customFormat="false" ht="15" hidden="false" customHeight="false" outlineLevel="0" collapsed="false">
      <c r="A496" s="6" t="s">
        <v>554</v>
      </c>
      <c r="B496" s="6" t="n">
        <v>0</v>
      </c>
      <c r="C496" s="6" t="n">
        <v>116</v>
      </c>
      <c r="D496" s="7" t="n">
        <v>0</v>
      </c>
      <c r="E496" s="8" t="n">
        <v>41.17</v>
      </c>
      <c r="F496" s="6" t="s">
        <v>198</v>
      </c>
      <c r="G496" s="6" t="n">
        <f aca="false">IF(AND(E496&gt;=3,E496&lt;=20),ROUND(C496*(1-D496)*(1/E496),0),0)</f>
        <v>0</v>
      </c>
      <c r="H496" s="6" t="str">
        <f aca="false">IF(F496="Brand","Brand — already winning",IF(AND(E496&lt;=10,D496&lt;0.02,C496&gt;=200),"Ranks page 1 but no clicks → fix title/meta",IF(AND(E496&gt;10,E496&lt;=20,C496&gt;=200),"Page 2 → deepen content / add article",IF(E496&gt;20,"Weak — needs dedicated page","OK"))))</f>
        <v>Weak — needs dedicated page</v>
      </c>
    </row>
    <row r="497" customFormat="false" ht="15" hidden="false" customHeight="false" outlineLevel="0" collapsed="false">
      <c r="A497" s="6" t="s">
        <v>555</v>
      </c>
      <c r="B497" s="6" t="n">
        <v>0</v>
      </c>
      <c r="C497" s="6" t="n">
        <v>116</v>
      </c>
      <c r="D497" s="7" t="n">
        <v>0</v>
      </c>
      <c r="E497" s="8" t="n">
        <v>47.23</v>
      </c>
      <c r="F497" s="6" t="s">
        <v>68</v>
      </c>
      <c r="G497" s="6" t="n">
        <f aca="false">IF(AND(E497&gt;=3,E497&lt;=20),ROUND(C497*(1-D497)*(1/E497),0),0)</f>
        <v>0</v>
      </c>
      <c r="H497" s="6" t="str">
        <f aca="false">IF(F497="Brand","Brand — already winning",IF(AND(E497&lt;=10,D497&lt;0.02,C497&gt;=200),"Ranks page 1 but no clicks → fix title/meta",IF(AND(E497&gt;10,E497&lt;=20,C497&gt;=200),"Page 2 → deepen content / add article",IF(E497&gt;20,"Weak — needs dedicated page","OK"))))</f>
        <v>Weak — needs dedicated page</v>
      </c>
    </row>
    <row r="498" customFormat="false" ht="15" hidden="false" customHeight="false" outlineLevel="0" collapsed="false">
      <c r="A498" s="6" t="s">
        <v>556</v>
      </c>
      <c r="B498" s="6" t="n">
        <v>0</v>
      </c>
      <c r="C498" s="6" t="n">
        <v>115</v>
      </c>
      <c r="D498" s="7" t="n">
        <v>0</v>
      </c>
      <c r="E498" s="8" t="n">
        <v>9.95</v>
      </c>
      <c r="F498" s="6" t="s">
        <v>48</v>
      </c>
      <c r="G498" s="6" t="n">
        <f aca="false">IF(AND(E498&gt;=3,E498&lt;=20),ROUND(C498*(1-D498)*(1/E498),0),0)</f>
        <v>12</v>
      </c>
      <c r="H498" s="6" t="str">
        <f aca="false">IF(F498="Brand","Brand — already winning",IF(AND(E498&lt;=10,D498&lt;0.02,C498&gt;=200),"Ranks page 1 but no clicks → fix title/meta",IF(AND(E498&gt;10,E498&lt;=20,C498&gt;=200),"Page 2 → deepen content / add article",IF(E498&gt;20,"Weak — needs dedicated page","OK"))))</f>
        <v>OK</v>
      </c>
    </row>
    <row r="499" customFormat="false" ht="15" hidden="false" customHeight="false" outlineLevel="0" collapsed="false">
      <c r="A499" s="6" t="s">
        <v>557</v>
      </c>
      <c r="B499" s="6" t="n">
        <v>0</v>
      </c>
      <c r="C499" s="6" t="n">
        <v>114</v>
      </c>
      <c r="D499" s="7" t="n">
        <v>0</v>
      </c>
      <c r="E499" s="8" t="n">
        <v>13.48</v>
      </c>
      <c r="F499" s="6" t="s">
        <v>48</v>
      </c>
      <c r="G499" s="6" t="n">
        <f aca="false">IF(AND(E499&gt;=3,E499&lt;=20),ROUND(C499*(1-D499)*(1/E499),0),0)</f>
        <v>8</v>
      </c>
      <c r="H499" s="6" t="str">
        <f aca="false">IF(F499="Brand","Brand — already winning",IF(AND(E499&lt;=10,D499&lt;0.02,C499&gt;=200),"Ranks page 1 but no clicks → fix title/meta",IF(AND(E499&gt;10,E499&lt;=20,C499&gt;=200),"Page 2 → deepen content / add article",IF(E499&gt;20,"Weak — needs dedicated page","OK"))))</f>
        <v>OK</v>
      </c>
    </row>
  </sheetData>
  <autoFilter ref="A1:H4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16"/>
  </cols>
  <sheetData>
    <row r="1" customFormat="false" ht="26.85" hidden="false" customHeight="false" outlineLevel="0" collapsed="false">
      <c r="A1" s="4" t="s">
        <v>558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559</v>
      </c>
    </row>
    <row r="2" customFormat="false" ht="15" hidden="false" customHeight="false" outlineLevel="0" collapsed="false">
      <c r="A2" s="6" t="s">
        <v>560</v>
      </c>
      <c r="B2" s="6" t="n">
        <v>1516</v>
      </c>
      <c r="C2" s="6" t="n">
        <v>60641</v>
      </c>
      <c r="D2" s="7" t="n">
        <v>0.025</v>
      </c>
      <c r="E2" s="8" t="n">
        <v>28.98</v>
      </c>
      <c r="F2" s="6" t="s">
        <v>561</v>
      </c>
    </row>
    <row r="3" customFormat="false" ht="15" hidden="false" customHeight="false" outlineLevel="0" collapsed="false">
      <c r="A3" s="6" t="s">
        <v>562</v>
      </c>
      <c r="B3" s="6" t="n">
        <v>335</v>
      </c>
      <c r="C3" s="6" t="n">
        <v>67853</v>
      </c>
      <c r="D3" s="7" t="n">
        <v>0.0049</v>
      </c>
      <c r="E3" s="8" t="n">
        <v>9</v>
      </c>
      <c r="F3" s="6" t="s">
        <v>561</v>
      </c>
    </row>
    <row r="4" customFormat="false" ht="15" hidden="false" customHeight="false" outlineLevel="0" collapsed="false">
      <c r="A4" s="6" t="s">
        <v>563</v>
      </c>
      <c r="B4" s="6" t="n">
        <v>242</v>
      </c>
      <c r="C4" s="6" t="n">
        <v>6300</v>
      </c>
      <c r="D4" s="7" t="n">
        <v>0.0384</v>
      </c>
      <c r="E4" s="8" t="n">
        <v>12.59</v>
      </c>
      <c r="F4" s="6" t="s">
        <v>561</v>
      </c>
    </row>
    <row r="5" customFormat="false" ht="15" hidden="false" customHeight="false" outlineLevel="0" collapsed="false">
      <c r="A5" s="6" t="s">
        <v>564</v>
      </c>
      <c r="B5" s="6" t="n">
        <v>103</v>
      </c>
      <c r="C5" s="6" t="n">
        <v>2716</v>
      </c>
      <c r="D5" s="7" t="n">
        <v>0.0379</v>
      </c>
      <c r="E5" s="8" t="n">
        <v>8.9</v>
      </c>
      <c r="F5" s="6" t="s">
        <v>561</v>
      </c>
    </row>
    <row r="6" customFormat="false" ht="15" hidden="false" customHeight="false" outlineLevel="0" collapsed="false">
      <c r="A6" s="6" t="s">
        <v>565</v>
      </c>
      <c r="B6" s="6" t="n">
        <v>69</v>
      </c>
      <c r="C6" s="6" t="n">
        <v>1808</v>
      </c>
      <c r="D6" s="7" t="n">
        <v>0.0382</v>
      </c>
      <c r="E6" s="8" t="n">
        <v>4.01</v>
      </c>
      <c r="F6" s="6" t="s">
        <v>561</v>
      </c>
    </row>
    <row r="7" customFormat="false" ht="15" hidden="false" customHeight="false" outlineLevel="0" collapsed="false">
      <c r="A7" s="6" t="s">
        <v>566</v>
      </c>
      <c r="B7" s="6" t="n">
        <v>68</v>
      </c>
      <c r="C7" s="6" t="n">
        <v>2893</v>
      </c>
      <c r="D7" s="7" t="n">
        <v>0.0235</v>
      </c>
      <c r="E7" s="8" t="n">
        <v>9.21</v>
      </c>
      <c r="F7" s="6" t="s">
        <v>561</v>
      </c>
    </row>
    <row r="8" customFormat="false" ht="15" hidden="false" customHeight="false" outlineLevel="0" collapsed="false">
      <c r="A8" s="6" t="s">
        <v>567</v>
      </c>
      <c r="B8" s="6" t="n">
        <v>63</v>
      </c>
      <c r="C8" s="6" t="n">
        <v>10048</v>
      </c>
      <c r="D8" s="7" t="n">
        <v>0.0063</v>
      </c>
      <c r="E8" s="8" t="n">
        <v>10.04</v>
      </c>
      <c r="F8" s="6" t="s">
        <v>561</v>
      </c>
    </row>
    <row r="9" customFormat="false" ht="15" hidden="false" customHeight="false" outlineLevel="0" collapsed="false">
      <c r="A9" s="6" t="s">
        <v>568</v>
      </c>
      <c r="B9" s="6" t="n">
        <v>63</v>
      </c>
      <c r="C9" s="6" t="n">
        <v>858</v>
      </c>
      <c r="D9" s="7" t="n">
        <v>0.0734</v>
      </c>
      <c r="E9" s="8" t="n">
        <v>10.42</v>
      </c>
      <c r="F9" s="6" t="s">
        <v>569</v>
      </c>
    </row>
    <row r="10" customFormat="false" ht="15" hidden="false" customHeight="false" outlineLevel="0" collapsed="false">
      <c r="A10" s="6" t="s">
        <v>570</v>
      </c>
      <c r="B10" s="6" t="n">
        <v>53</v>
      </c>
      <c r="C10" s="6" t="n">
        <v>69780</v>
      </c>
      <c r="D10" s="7" t="n">
        <v>0.0008</v>
      </c>
      <c r="E10" s="8" t="n">
        <v>7.35</v>
      </c>
      <c r="F10" s="6" t="s">
        <v>561</v>
      </c>
    </row>
    <row r="11" customFormat="false" ht="15" hidden="false" customHeight="false" outlineLevel="0" collapsed="false">
      <c r="A11" s="6" t="s">
        <v>571</v>
      </c>
      <c r="B11" s="6" t="n">
        <v>47</v>
      </c>
      <c r="C11" s="6" t="n">
        <v>5488</v>
      </c>
      <c r="D11" s="7" t="n">
        <v>0.0086</v>
      </c>
      <c r="E11" s="8" t="n">
        <v>13.13</v>
      </c>
      <c r="F11" s="6" t="s">
        <v>561</v>
      </c>
    </row>
    <row r="12" customFormat="false" ht="15" hidden="false" customHeight="false" outlineLevel="0" collapsed="false">
      <c r="A12" s="6" t="s">
        <v>572</v>
      </c>
      <c r="B12" s="6" t="n">
        <v>39</v>
      </c>
      <c r="C12" s="6" t="n">
        <v>928</v>
      </c>
      <c r="D12" s="7" t="n">
        <v>0.042</v>
      </c>
      <c r="E12" s="8" t="n">
        <v>6.45</v>
      </c>
      <c r="F12" s="6" t="s">
        <v>561</v>
      </c>
    </row>
    <row r="13" customFormat="false" ht="15" hidden="false" customHeight="false" outlineLevel="0" collapsed="false">
      <c r="A13" s="6" t="s">
        <v>573</v>
      </c>
      <c r="B13" s="6" t="n">
        <v>38</v>
      </c>
      <c r="C13" s="6" t="n">
        <v>1713</v>
      </c>
      <c r="D13" s="7" t="n">
        <v>0.0222</v>
      </c>
      <c r="E13" s="8" t="n">
        <v>6.62</v>
      </c>
      <c r="F13" s="6" t="s">
        <v>561</v>
      </c>
    </row>
    <row r="14" customFormat="false" ht="15" hidden="false" customHeight="false" outlineLevel="0" collapsed="false">
      <c r="A14" s="6" t="s">
        <v>574</v>
      </c>
      <c r="B14" s="6" t="n">
        <v>26</v>
      </c>
      <c r="C14" s="6" t="n">
        <v>4021</v>
      </c>
      <c r="D14" s="7" t="n">
        <v>0.0065</v>
      </c>
      <c r="E14" s="8" t="n">
        <v>12.5</v>
      </c>
      <c r="F14" s="6" t="s">
        <v>561</v>
      </c>
    </row>
    <row r="15" customFormat="false" ht="15" hidden="false" customHeight="false" outlineLevel="0" collapsed="false">
      <c r="A15" s="6" t="s">
        <v>575</v>
      </c>
      <c r="B15" s="6" t="n">
        <v>19</v>
      </c>
      <c r="C15" s="6" t="n">
        <v>1392</v>
      </c>
      <c r="D15" s="7" t="n">
        <v>0.0136</v>
      </c>
      <c r="E15" s="8" t="n">
        <v>17.48</v>
      </c>
      <c r="F15" s="6" t="s">
        <v>561</v>
      </c>
    </row>
    <row r="16" customFormat="false" ht="15" hidden="false" customHeight="false" outlineLevel="0" collapsed="false">
      <c r="A16" s="6" t="s">
        <v>576</v>
      </c>
      <c r="B16" s="6" t="n">
        <v>17</v>
      </c>
      <c r="C16" s="6" t="n">
        <v>5134</v>
      </c>
      <c r="D16" s="7" t="n">
        <v>0.0033</v>
      </c>
      <c r="E16" s="8" t="n">
        <v>5.79</v>
      </c>
      <c r="F16" s="6" t="s">
        <v>561</v>
      </c>
    </row>
    <row r="17" customFormat="false" ht="15" hidden="false" customHeight="false" outlineLevel="0" collapsed="false">
      <c r="A17" s="6" t="s">
        <v>577</v>
      </c>
      <c r="B17" s="6" t="n">
        <v>16</v>
      </c>
      <c r="C17" s="6" t="n">
        <v>1658</v>
      </c>
      <c r="D17" s="7" t="n">
        <v>0.0097</v>
      </c>
      <c r="E17" s="8" t="n">
        <v>10.79</v>
      </c>
      <c r="F17" s="6" t="s">
        <v>561</v>
      </c>
    </row>
    <row r="18" customFormat="false" ht="15" hidden="false" customHeight="false" outlineLevel="0" collapsed="false">
      <c r="A18" s="6" t="s">
        <v>578</v>
      </c>
      <c r="B18" s="6" t="n">
        <v>14</v>
      </c>
      <c r="C18" s="6" t="n">
        <v>5450</v>
      </c>
      <c r="D18" s="7" t="n">
        <v>0.0026</v>
      </c>
      <c r="E18" s="8" t="n">
        <v>10.6</v>
      </c>
      <c r="F18" s="6" t="s">
        <v>561</v>
      </c>
    </row>
    <row r="19" customFormat="false" ht="15" hidden="false" customHeight="false" outlineLevel="0" collapsed="false">
      <c r="A19" s="6" t="s">
        <v>579</v>
      </c>
      <c r="B19" s="6" t="n">
        <v>14</v>
      </c>
      <c r="C19" s="6" t="n">
        <v>687</v>
      </c>
      <c r="D19" s="7" t="n">
        <v>0.0204</v>
      </c>
      <c r="E19" s="8" t="n">
        <v>7.8</v>
      </c>
      <c r="F19" s="6" t="s">
        <v>561</v>
      </c>
    </row>
    <row r="20" customFormat="false" ht="15" hidden="false" customHeight="false" outlineLevel="0" collapsed="false">
      <c r="A20" s="6" t="s">
        <v>580</v>
      </c>
      <c r="B20" s="6" t="n">
        <v>13</v>
      </c>
      <c r="C20" s="6" t="n">
        <v>1451</v>
      </c>
      <c r="D20" s="7" t="n">
        <v>0.009</v>
      </c>
      <c r="E20" s="8" t="n">
        <v>26.85</v>
      </c>
      <c r="F20" s="6" t="s">
        <v>561</v>
      </c>
    </row>
    <row r="21" customFormat="false" ht="15" hidden="false" customHeight="false" outlineLevel="0" collapsed="false">
      <c r="A21" s="6" t="s">
        <v>581</v>
      </c>
      <c r="B21" s="6" t="n">
        <v>13</v>
      </c>
      <c r="C21" s="6" t="n">
        <v>1443</v>
      </c>
      <c r="D21" s="7" t="n">
        <v>0.009</v>
      </c>
      <c r="E21" s="8" t="n">
        <v>31.96</v>
      </c>
      <c r="F21" s="6" t="s">
        <v>561</v>
      </c>
    </row>
    <row r="22" customFormat="false" ht="15" hidden="false" customHeight="false" outlineLevel="0" collapsed="false">
      <c r="A22" s="6" t="s">
        <v>582</v>
      </c>
      <c r="B22" s="6" t="n">
        <v>11</v>
      </c>
      <c r="C22" s="6" t="n">
        <v>427</v>
      </c>
      <c r="D22" s="7" t="n">
        <v>0.0258</v>
      </c>
      <c r="E22" s="8" t="n">
        <v>5.5</v>
      </c>
      <c r="F22" s="6" t="s">
        <v>561</v>
      </c>
    </row>
    <row r="23" customFormat="false" ht="15" hidden="false" customHeight="false" outlineLevel="0" collapsed="false">
      <c r="A23" s="6" t="s">
        <v>583</v>
      </c>
      <c r="B23" s="6" t="n">
        <v>7</v>
      </c>
      <c r="C23" s="6" t="n">
        <v>2698</v>
      </c>
      <c r="D23" s="7" t="n">
        <v>0.0026</v>
      </c>
      <c r="E23" s="8" t="n">
        <v>9.8</v>
      </c>
      <c r="F23" s="6" t="s">
        <v>561</v>
      </c>
    </row>
    <row r="24" customFormat="false" ht="15" hidden="false" customHeight="false" outlineLevel="0" collapsed="false">
      <c r="A24" s="6" t="s">
        <v>584</v>
      </c>
      <c r="B24" s="6" t="n">
        <v>7</v>
      </c>
      <c r="C24" s="6" t="n">
        <v>1152</v>
      </c>
      <c r="D24" s="7" t="n">
        <v>0.0061</v>
      </c>
      <c r="E24" s="8" t="n">
        <v>11.95</v>
      </c>
      <c r="F24" s="6" t="s">
        <v>561</v>
      </c>
    </row>
    <row r="25" customFormat="false" ht="15" hidden="false" customHeight="false" outlineLevel="0" collapsed="false">
      <c r="A25" s="6" t="s">
        <v>585</v>
      </c>
      <c r="B25" s="6" t="n">
        <v>6</v>
      </c>
      <c r="C25" s="6" t="n">
        <v>10863</v>
      </c>
      <c r="D25" s="7" t="n">
        <v>0.0006</v>
      </c>
      <c r="E25" s="8" t="n">
        <v>14.22</v>
      </c>
      <c r="F25" s="6" t="s">
        <v>561</v>
      </c>
    </row>
    <row r="26" customFormat="false" ht="15" hidden="false" customHeight="false" outlineLevel="0" collapsed="false">
      <c r="A26" s="6" t="s">
        <v>586</v>
      </c>
      <c r="B26" s="6" t="n">
        <v>6</v>
      </c>
      <c r="C26" s="6" t="n">
        <v>1064</v>
      </c>
      <c r="D26" s="7" t="n">
        <v>0.0056</v>
      </c>
      <c r="E26" s="8" t="n">
        <v>21.88</v>
      </c>
      <c r="F26" s="6" t="s">
        <v>561</v>
      </c>
    </row>
    <row r="27" customFormat="false" ht="15" hidden="false" customHeight="false" outlineLevel="0" collapsed="false">
      <c r="A27" s="6" t="s">
        <v>587</v>
      </c>
      <c r="B27" s="6" t="n">
        <v>6</v>
      </c>
      <c r="C27" s="6" t="n">
        <v>465</v>
      </c>
      <c r="D27" s="7" t="n">
        <v>0.0129</v>
      </c>
      <c r="E27" s="8" t="n">
        <v>25.39</v>
      </c>
      <c r="F27" s="6" t="s">
        <v>561</v>
      </c>
    </row>
    <row r="28" customFormat="false" ht="15" hidden="false" customHeight="false" outlineLevel="0" collapsed="false">
      <c r="A28" s="6" t="s">
        <v>588</v>
      </c>
      <c r="B28" s="6" t="n">
        <v>6</v>
      </c>
      <c r="C28" s="6" t="n">
        <v>133</v>
      </c>
      <c r="D28" s="7" t="n">
        <v>0.0451</v>
      </c>
      <c r="E28" s="8" t="n">
        <v>6.1</v>
      </c>
      <c r="F28" s="6" t="s">
        <v>561</v>
      </c>
    </row>
    <row r="29" customFormat="false" ht="15" hidden="false" customHeight="false" outlineLevel="0" collapsed="false">
      <c r="A29" s="6" t="s">
        <v>589</v>
      </c>
      <c r="B29" s="6" t="n">
        <v>5</v>
      </c>
      <c r="C29" s="6" t="n">
        <v>1521</v>
      </c>
      <c r="D29" s="7" t="n">
        <v>0.0033</v>
      </c>
      <c r="E29" s="8" t="n">
        <v>6.54</v>
      </c>
      <c r="F29" s="6" t="s">
        <v>561</v>
      </c>
    </row>
    <row r="30" customFormat="false" ht="15" hidden="false" customHeight="false" outlineLevel="0" collapsed="false">
      <c r="A30" s="6" t="s">
        <v>590</v>
      </c>
      <c r="B30" s="6" t="n">
        <v>4</v>
      </c>
      <c r="C30" s="6" t="n">
        <v>4816</v>
      </c>
      <c r="D30" s="7" t="n">
        <v>0.0008</v>
      </c>
      <c r="E30" s="8" t="n">
        <v>15.95</v>
      </c>
      <c r="F30" s="6" t="s">
        <v>561</v>
      </c>
    </row>
    <row r="31" customFormat="false" ht="15" hidden="false" customHeight="false" outlineLevel="0" collapsed="false">
      <c r="A31" s="6" t="s">
        <v>591</v>
      </c>
      <c r="B31" s="6" t="n">
        <v>4</v>
      </c>
      <c r="C31" s="6" t="n">
        <v>748</v>
      </c>
      <c r="D31" s="7" t="n">
        <v>0.0053</v>
      </c>
      <c r="E31" s="8" t="n">
        <v>6.87</v>
      </c>
      <c r="F31" s="6" t="s">
        <v>561</v>
      </c>
    </row>
    <row r="32" customFormat="false" ht="15" hidden="false" customHeight="false" outlineLevel="0" collapsed="false">
      <c r="A32" s="6" t="s">
        <v>592</v>
      </c>
      <c r="B32" s="6" t="n">
        <v>3</v>
      </c>
      <c r="C32" s="6" t="n">
        <v>1084</v>
      </c>
      <c r="D32" s="7" t="n">
        <v>0.0028</v>
      </c>
      <c r="E32" s="8" t="n">
        <v>36.57</v>
      </c>
      <c r="F32" s="6" t="s">
        <v>561</v>
      </c>
    </row>
    <row r="33" customFormat="false" ht="15" hidden="false" customHeight="false" outlineLevel="0" collapsed="false">
      <c r="A33" s="6" t="s">
        <v>593</v>
      </c>
      <c r="B33" s="6" t="n">
        <v>3</v>
      </c>
      <c r="C33" s="6" t="n">
        <v>185</v>
      </c>
      <c r="D33" s="7" t="n">
        <v>0.0162</v>
      </c>
      <c r="E33" s="8" t="n">
        <v>9.12</v>
      </c>
      <c r="F33" s="6" t="s">
        <v>561</v>
      </c>
    </row>
    <row r="34" customFormat="false" ht="15" hidden="false" customHeight="false" outlineLevel="0" collapsed="false">
      <c r="A34" s="6" t="s">
        <v>594</v>
      </c>
      <c r="B34" s="6" t="n">
        <v>3</v>
      </c>
      <c r="C34" s="6" t="n">
        <v>159</v>
      </c>
      <c r="D34" s="7" t="n">
        <v>0.0189</v>
      </c>
      <c r="E34" s="8" t="n">
        <v>21.38</v>
      </c>
      <c r="F34" s="6" t="s">
        <v>561</v>
      </c>
    </row>
    <row r="35" customFormat="false" ht="15" hidden="false" customHeight="false" outlineLevel="0" collapsed="false">
      <c r="A35" s="6" t="s">
        <v>595</v>
      </c>
      <c r="B35" s="6" t="n">
        <v>3</v>
      </c>
      <c r="C35" s="6" t="n">
        <v>106</v>
      </c>
      <c r="D35" s="7" t="n">
        <v>0.0283</v>
      </c>
      <c r="E35" s="8" t="n">
        <v>17.95</v>
      </c>
      <c r="F35" s="6" t="s">
        <v>561</v>
      </c>
    </row>
    <row r="36" customFormat="false" ht="15" hidden="false" customHeight="false" outlineLevel="0" collapsed="false">
      <c r="A36" s="6" t="s">
        <v>596</v>
      </c>
      <c r="B36" s="6" t="n">
        <v>2</v>
      </c>
      <c r="C36" s="6" t="n">
        <v>1522</v>
      </c>
      <c r="D36" s="7" t="n">
        <v>0.0013</v>
      </c>
      <c r="E36" s="8" t="n">
        <v>18.41</v>
      </c>
      <c r="F36" s="6" t="s">
        <v>561</v>
      </c>
    </row>
    <row r="37" customFormat="false" ht="15" hidden="false" customHeight="false" outlineLevel="0" collapsed="false">
      <c r="A37" s="6" t="s">
        <v>597</v>
      </c>
      <c r="B37" s="6" t="n">
        <v>2</v>
      </c>
      <c r="C37" s="6" t="n">
        <v>1305</v>
      </c>
      <c r="D37" s="7" t="n">
        <v>0.0015</v>
      </c>
      <c r="E37" s="8" t="n">
        <v>42.37</v>
      </c>
      <c r="F37" s="6" t="s">
        <v>561</v>
      </c>
    </row>
    <row r="38" customFormat="false" ht="15" hidden="false" customHeight="false" outlineLevel="0" collapsed="false">
      <c r="A38" s="6" t="s">
        <v>598</v>
      </c>
      <c r="B38" s="6" t="n">
        <v>2</v>
      </c>
      <c r="C38" s="6" t="n">
        <v>1285</v>
      </c>
      <c r="D38" s="7" t="n">
        <v>0.0016</v>
      </c>
      <c r="E38" s="8" t="n">
        <v>7.57</v>
      </c>
      <c r="F38" s="6" t="s">
        <v>561</v>
      </c>
    </row>
    <row r="39" customFormat="false" ht="15" hidden="false" customHeight="false" outlineLevel="0" collapsed="false">
      <c r="A39" s="6" t="s">
        <v>599</v>
      </c>
      <c r="B39" s="6" t="n">
        <v>2</v>
      </c>
      <c r="C39" s="6" t="n">
        <v>967</v>
      </c>
      <c r="D39" s="7" t="n">
        <v>0.0021</v>
      </c>
      <c r="E39" s="8" t="n">
        <v>25.58</v>
      </c>
      <c r="F39" s="6" t="s">
        <v>561</v>
      </c>
    </row>
    <row r="40" customFormat="false" ht="15" hidden="false" customHeight="false" outlineLevel="0" collapsed="false">
      <c r="A40" s="6" t="s">
        <v>600</v>
      </c>
      <c r="B40" s="6" t="n">
        <v>2</v>
      </c>
      <c r="C40" s="6" t="n">
        <v>598</v>
      </c>
      <c r="D40" s="7" t="n">
        <v>0.0033</v>
      </c>
      <c r="E40" s="8" t="n">
        <v>32.23</v>
      </c>
      <c r="F40" s="6" t="s">
        <v>561</v>
      </c>
    </row>
    <row r="41" customFormat="false" ht="15" hidden="false" customHeight="false" outlineLevel="0" collapsed="false">
      <c r="A41" s="6" t="s">
        <v>601</v>
      </c>
      <c r="B41" s="6" t="n">
        <v>2</v>
      </c>
      <c r="C41" s="6" t="n">
        <v>248</v>
      </c>
      <c r="D41" s="7" t="n">
        <v>0.0081</v>
      </c>
      <c r="E41" s="8" t="n">
        <v>8.6</v>
      </c>
      <c r="F41" s="6" t="s">
        <v>561</v>
      </c>
    </row>
    <row r="42" customFormat="false" ht="15" hidden="false" customHeight="false" outlineLevel="0" collapsed="false">
      <c r="A42" s="6" t="s">
        <v>602</v>
      </c>
      <c r="B42" s="6" t="n">
        <v>2</v>
      </c>
      <c r="C42" s="6" t="n">
        <v>181</v>
      </c>
      <c r="D42" s="7" t="n">
        <v>0.011</v>
      </c>
      <c r="E42" s="8" t="n">
        <v>7.77</v>
      </c>
      <c r="F42" s="6" t="s">
        <v>561</v>
      </c>
    </row>
    <row r="43" customFormat="false" ht="15" hidden="false" customHeight="false" outlineLevel="0" collapsed="false">
      <c r="A43" s="6" t="s">
        <v>603</v>
      </c>
      <c r="B43" s="6" t="n">
        <v>2</v>
      </c>
      <c r="C43" s="6" t="n">
        <v>122</v>
      </c>
      <c r="D43" s="7" t="n">
        <v>0.0164</v>
      </c>
      <c r="E43" s="8" t="n">
        <v>15.56</v>
      </c>
      <c r="F43" s="6" t="s">
        <v>569</v>
      </c>
    </row>
    <row r="44" customFormat="false" ht="15" hidden="false" customHeight="false" outlineLevel="0" collapsed="false">
      <c r="A44" s="6" t="s">
        <v>604</v>
      </c>
      <c r="B44" s="6" t="n">
        <v>2</v>
      </c>
      <c r="C44" s="6" t="n">
        <v>65</v>
      </c>
      <c r="D44" s="7" t="n">
        <v>0.0308</v>
      </c>
      <c r="E44" s="8" t="n">
        <v>3.4</v>
      </c>
      <c r="F44" s="6" t="s">
        <v>569</v>
      </c>
    </row>
    <row r="45" customFormat="false" ht="15" hidden="false" customHeight="false" outlineLevel="0" collapsed="false">
      <c r="A45" s="6" t="s">
        <v>605</v>
      </c>
      <c r="B45" s="6" t="n">
        <v>2</v>
      </c>
      <c r="C45" s="6" t="n">
        <v>31</v>
      </c>
      <c r="D45" s="7" t="n">
        <v>0.0645</v>
      </c>
      <c r="E45" s="8" t="n">
        <v>6</v>
      </c>
      <c r="F45" s="6" t="s">
        <v>561</v>
      </c>
    </row>
    <row r="46" customFormat="false" ht="15" hidden="false" customHeight="false" outlineLevel="0" collapsed="false">
      <c r="A46" s="6" t="s">
        <v>606</v>
      </c>
      <c r="B46" s="6" t="n">
        <v>1</v>
      </c>
      <c r="C46" s="6" t="n">
        <v>4007</v>
      </c>
      <c r="D46" s="7" t="n">
        <v>0.0002</v>
      </c>
      <c r="E46" s="8" t="n">
        <v>4.61</v>
      </c>
      <c r="F46" s="6" t="s">
        <v>561</v>
      </c>
    </row>
    <row r="47" customFormat="false" ht="15" hidden="false" customHeight="false" outlineLevel="0" collapsed="false">
      <c r="A47" s="6" t="s">
        <v>607</v>
      </c>
      <c r="B47" s="6" t="n">
        <v>1</v>
      </c>
      <c r="C47" s="6" t="n">
        <v>3475</v>
      </c>
      <c r="D47" s="7" t="n">
        <v>0.0003</v>
      </c>
      <c r="E47" s="8" t="n">
        <v>4.37</v>
      </c>
      <c r="F47" s="6" t="s">
        <v>561</v>
      </c>
    </row>
    <row r="48" customFormat="false" ht="15" hidden="false" customHeight="false" outlineLevel="0" collapsed="false">
      <c r="A48" s="6" t="s">
        <v>608</v>
      </c>
      <c r="B48" s="6" t="n">
        <v>1</v>
      </c>
      <c r="C48" s="6" t="n">
        <v>2387</v>
      </c>
      <c r="D48" s="7" t="n">
        <v>0.0004</v>
      </c>
      <c r="E48" s="8" t="n">
        <v>60.11</v>
      </c>
      <c r="F48" s="6" t="s">
        <v>561</v>
      </c>
    </row>
    <row r="49" customFormat="false" ht="15" hidden="false" customHeight="false" outlineLevel="0" collapsed="false">
      <c r="A49" s="6" t="s">
        <v>609</v>
      </c>
      <c r="B49" s="6" t="n">
        <v>1</v>
      </c>
      <c r="C49" s="6" t="n">
        <v>1566</v>
      </c>
      <c r="D49" s="7" t="n">
        <v>0.0006</v>
      </c>
      <c r="E49" s="8" t="n">
        <v>4.9</v>
      </c>
      <c r="F49" s="6" t="s">
        <v>561</v>
      </c>
    </row>
    <row r="50" customFormat="false" ht="15" hidden="false" customHeight="false" outlineLevel="0" collapsed="false">
      <c r="A50" s="6" t="s">
        <v>610</v>
      </c>
      <c r="B50" s="6" t="n">
        <v>1</v>
      </c>
      <c r="C50" s="6" t="n">
        <v>650</v>
      </c>
      <c r="D50" s="7" t="n">
        <v>0.0015</v>
      </c>
      <c r="E50" s="8" t="n">
        <v>21.13</v>
      </c>
      <c r="F50" s="6" t="s">
        <v>561</v>
      </c>
    </row>
    <row r="51" customFormat="false" ht="15" hidden="false" customHeight="false" outlineLevel="0" collapsed="false">
      <c r="A51" s="6" t="s">
        <v>611</v>
      </c>
      <c r="B51" s="6" t="n">
        <v>1</v>
      </c>
      <c r="C51" s="6" t="n">
        <v>611</v>
      </c>
      <c r="D51" s="7" t="n">
        <v>0.0016</v>
      </c>
      <c r="E51" s="8" t="n">
        <v>19.66</v>
      </c>
      <c r="F51" s="6" t="s">
        <v>561</v>
      </c>
    </row>
    <row r="52" customFormat="false" ht="15" hidden="false" customHeight="false" outlineLevel="0" collapsed="false">
      <c r="A52" s="6" t="s">
        <v>612</v>
      </c>
      <c r="B52" s="6" t="n">
        <v>1</v>
      </c>
      <c r="C52" s="6" t="n">
        <v>445</v>
      </c>
      <c r="D52" s="7" t="n">
        <v>0.0022</v>
      </c>
      <c r="E52" s="8" t="n">
        <v>24.59</v>
      </c>
      <c r="F52" s="6" t="s">
        <v>561</v>
      </c>
    </row>
    <row r="53" customFormat="false" ht="15" hidden="false" customHeight="false" outlineLevel="0" collapsed="false">
      <c r="A53" s="6" t="s">
        <v>613</v>
      </c>
      <c r="B53" s="6" t="n">
        <v>1</v>
      </c>
      <c r="C53" s="6" t="n">
        <v>406</v>
      </c>
      <c r="D53" s="7" t="n">
        <v>0.0025</v>
      </c>
      <c r="E53" s="8" t="n">
        <v>23.09</v>
      </c>
      <c r="F53" s="6" t="s">
        <v>561</v>
      </c>
    </row>
    <row r="54" customFormat="false" ht="15" hidden="false" customHeight="false" outlineLevel="0" collapsed="false">
      <c r="A54" s="6" t="s">
        <v>614</v>
      </c>
      <c r="B54" s="6" t="n">
        <v>1</v>
      </c>
      <c r="C54" s="6" t="n">
        <v>294</v>
      </c>
      <c r="D54" s="7" t="n">
        <v>0.0034</v>
      </c>
      <c r="E54" s="8" t="n">
        <v>48.44</v>
      </c>
      <c r="F54" s="6" t="s">
        <v>569</v>
      </c>
    </row>
    <row r="55" customFormat="false" ht="15" hidden="false" customHeight="false" outlineLevel="0" collapsed="false">
      <c r="A55" s="6" t="s">
        <v>615</v>
      </c>
      <c r="B55" s="6" t="n">
        <v>1</v>
      </c>
      <c r="C55" s="6" t="n">
        <v>260</v>
      </c>
      <c r="D55" s="7" t="n">
        <v>0.0038</v>
      </c>
      <c r="E55" s="8" t="n">
        <v>49.36</v>
      </c>
      <c r="F55" s="6" t="s">
        <v>569</v>
      </c>
    </row>
    <row r="56" customFormat="false" ht="15" hidden="false" customHeight="false" outlineLevel="0" collapsed="false">
      <c r="A56" s="6" t="s">
        <v>616</v>
      </c>
      <c r="B56" s="6" t="n">
        <v>1</v>
      </c>
      <c r="C56" s="6" t="n">
        <v>207</v>
      </c>
      <c r="D56" s="7" t="n">
        <v>0.0048</v>
      </c>
      <c r="E56" s="8" t="n">
        <v>53.29</v>
      </c>
      <c r="F56" s="6" t="s">
        <v>561</v>
      </c>
    </row>
    <row r="57" customFormat="false" ht="15" hidden="false" customHeight="false" outlineLevel="0" collapsed="false">
      <c r="A57" s="6" t="s">
        <v>617</v>
      </c>
      <c r="B57" s="6" t="n">
        <v>1</v>
      </c>
      <c r="C57" s="6" t="n">
        <v>115</v>
      </c>
      <c r="D57" s="7" t="n">
        <v>0.0087</v>
      </c>
      <c r="E57" s="8" t="n">
        <v>5.18</v>
      </c>
      <c r="F57" s="6" t="s">
        <v>561</v>
      </c>
    </row>
    <row r="58" customFormat="false" ht="15" hidden="false" customHeight="false" outlineLevel="0" collapsed="false">
      <c r="A58" s="6" t="s">
        <v>618</v>
      </c>
      <c r="B58" s="6" t="n">
        <v>1</v>
      </c>
      <c r="C58" s="6" t="n">
        <v>113</v>
      </c>
      <c r="D58" s="7" t="n">
        <v>0.0088</v>
      </c>
      <c r="E58" s="8" t="n">
        <v>7.06</v>
      </c>
      <c r="F58" s="6" t="s">
        <v>561</v>
      </c>
    </row>
    <row r="59" customFormat="false" ht="15" hidden="false" customHeight="false" outlineLevel="0" collapsed="false">
      <c r="A59" s="6" t="s">
        <v>619</v>
      </c>
      <c r="B59" s="6" t="n">
        <v>1</v>
      </c>
      <c r="C59" s="6" t="n">
        <v>108</v>
      </c>
      <c r="D59" s="7" t="n">
        <v>0.0093</v>
      </c>
      <c r="E59" s="8" t="n">
        <v>7.84</v>
      </c>
      <c r="F59" s="6" t="s">
        <v>561</v>
      </c>
    </row>
    <row r="60" customFormat="false" ht="15" hidden="false" customHeight="false" outlineLevel="0" collapsed="false">
      <c r="A60" s="6" t="s">
        <v>620</v>
      </c>
      <c r="B60" s="6" t="n">
        <v>1</v>
      </c>
      <c r="C60" s="6" t="n">
        <v>88</v>
      </c>
      <c r="D60" s="7" t="n">
        <v>0.0114</v>
      </c>
      <c r="E60" s="8" t="n">
        <v>13.89</v>
      </c>
      <c r="F60" s="6" t="s">
        <v>561</v>
      </c>
    </row>
    <row r="61" customFormat="false" ht="15" hidden="false" customHeight="false" outlineLevel="0" collapsed="false">
      <c r="A61" s="6" t="s">
        <v>621</v>
      </c>
      <c r="B61" s="6" t="n">
        <v>1</v>
      </c>
      <c r="C61" s="6" t="n">
        <v>73</v>
      </c>
      <c r="D61" s="7" t="n">
        <v>0.0137</v>
      </c>
      <c r="E61" s="8" t="n">
        <v>7.73</v>
      </c>
      <c r="F61" s="6" t="s">
        <v>561</v>
      </c>
    </row>
    <row r="62" customFormat="false" ht="15" hidden="false" customHeight="false" outlineLevel="0" collapsed="false">
      <c r="A62" s="6" t="s">
        <v>622</v>
      </c>
      <c r="B62" s="6" t="n">
        <v>1</v>
      </c>
      <c r="C62" s="6" t="n">
        <v>55</v>
      </c>
      <c r="D62" s="7" t="n">
        <v>0.0182</v>
      </c>
      <c r="E62" s="8" t="n">
        <v>11.07</v>
      </c>
      <c r="F62" s="6" t="s">
        <v>561</v>
      </c>
    </row>
    <row r="63" customFormat="false" ht="15" hidden="false" customHeight="false" outlineLevel="0" collapsed="false">
      <c r="A63" s="6" t="s">
        <v>623</v>
      </c>
      <c r="B63" s="6" t="n">
        <v>1</v>
      </c>
      <c r="C63" s="6" t="n">
        <v>37</v>
      </c>
      <c r="D63" s="7" t="n">
        <v>0.027</v>
      </c>
      <c r="E63" s="8" t="n">
        <v>20.95</v>
      </c>
      <c r="F63" s="6" t="s">
        <v>561</v>
      </c>
    </row>
    <row r="64" customFormat="false" ht="15" hidden="false" customHeight="false" outlineLevel="0" collapsed="false">
      <c r="A64" s="6" t="s">
        <v>624</v>
      </c>
      <c r="B64" s="6" t="n">
        <v>1</v>
      </c>
      <c r="C64" s="6" t="n">
        <v>36</v>
      </c>
      <c r="D64" s="7" t="n">
        <v>0.0278</v>
      </c>
      <c r="E64" s="8" t="n">
        <v>5.83</v>
      </c>
      <c r="F64" s="6" t="s">
        <v>561</v>
      </c>
    </row>
    <row r="65" customFormat="false" ht="15" hidden="false" customHeight="false" outlineLevel="0" collapsed="false">
      <c r="A65" s="6" t="s">
        <v>625</v>
      </c>
      <c r="B65" s="6" t="n">
        <v>1</v>
      </c>
      <c r="C65" s="6" t="n">
        <v>26</v>
      </c>
      <c r="D65" s="7" t="n">
        <v>0.0385</v>
      </c>
      <c r="E65" s="8" t="n">
        <v>12.77</v>
      </c>
      <c r="F65" s="6" t="s">
        <v>561</v>
      </c>
    </row>
    <row r="66" customFormat="false" ht="15" hidden="false" customHeight="false" outlineLevel="0" collapsed="false">
      <c r="A66" s="6" t="s">
        <v>626</v>
      </c>
      <c r="B66" s="6" t="n">
        <v>1</v>
      </c>
      <c r="C66" s="6" t="n">
        <v>25</v>
      </c>
      <c r="D66" s="7" t="n">
        <v>0.04</v>
      </c>
      <c r="E66" s="8" t="n">
        <v>12.36</v>
      </c>
      <c r="F66" s="6" t="s">
        <v>561</v>
      </c>
    </row>
    <row r="67" customFormat="false" ht="15" hidden="false" customHeight="false" outlineLevel="0" collapsed="false">
      <c r="A67" s="6" t="s">
        <v>627</v>
      </c>
      <c r="B67" s="6" t="n">
        <v>1</v>
      </c>
      <c r="C67" s="6" t="n">
        <v>19</v>
      </c>
      <c r="D67" s="7" t="n">
        <v>0.0526</v>
      </c>
      <c r="E67" s="8" t="n">
        <v>4.53</v>
      </c>
      <c r="F67" s="6" t="s">
        <v>561</v>
      </c>
    </row>
    <row r="68" customFormat="false" ht="15" hidden="false" customHeight="false" outlineLevel="0" collapsed="false">
      <c r="A68" s="6" t="s">
        <v>628</v>
      </c>
      <c r="B68" s="6" t="n">
        <v>1</v>
      </c>
      <c r="C68" s="6" t="n">
        <v>11</v>
      </c>
      <c r="D68" s="7" t="n">
        <v>0.0909</v>
      </c>
      <c r="E68" s="8" t="n">
        <v>15</v>
      </c>
      <c r="F68" s="6" t="s">
        <v>569</v>
      </c>
    </row>
    <row r="69" customFormat="false" ht="15" hidden="false" customHeight="false" outlineLevel="0" collapsed="false">
      <c r="A69" s="6" t="s">
        <v>629</v>
      </c>
      <c r="B69" s="6" t="n">
        <v>1</v>
      </c>
      <c r="C69" s="6" t="n">
        <v>11</v>
      </c>
      <c r="D69" s="7" t="n">
        <v>0.0909</v>
      </c>
      <c r="E69" s="8" t="n">
        <v>41.82</v>
      </c>
      <c r="F69" s="6" t="s">
        <v>569</v>
      </c>
    </row>
    <row r="70" customFormat="false" ht="15" hidden="false" customHeight="false" outlineLevel="0" collapsed="false">
      <c r="A70" s="6" t="s">
        <v>630</v>
      </c>
      <c r="B70" s="6" t="n">
        <v>1</v>
      </c>
      <c r="C70" s="6" t="n">
        <v>2</v>
      </c>
      <c r="D70" s="7" t="n">
        <v>0.5</v>
      </c>
      <c r="E70" s="8" t="n">
        <v>7.5</v>
      </c>
      <c r="F70" s="6" t="s">
        <v>569</v>
      </c>
    </row>
    <row r="71" customFormat="false" ht="15" hidden="false" customHeight="false" outlineLevel="0" collapsed="false">
      <c r="A71" s="6" t="s">
        <v>631</v>
      </c>
      <c r="B71" s="6" t="n">
        <v>0</v>
      </c>
      <c r="C71" s="6" t="n">
        <v>1043</v>
      </c>
      <c r="D71" s="7" t="n">
        <v>0</v>
      </c>
      <c r="E71" s="8" t="n">
        <v>8.49</v>
      </c>
      <c r="F71" s="6" t="s">
        <v>561</v>
      </c>
    </row>
    <row r="72" customFormat="false" ht="15" hidden="false" customHeight="false" outlineLevel="0" collapsed="false">
      <c r="A72" s="6" t="s">
        <v>632</v>
      </c>
      <c r="B72" s="6" t="n">
        <v>0</v>
      </c>
      <c r="C72" s="6" t="n">
        <v>616</v>
      </c>
      <c r="D72" s="7" t="n">
        <v>0</v>
      </c>
      <c r="E72" s="8" t="n">
        <v>30.5</v>
      </c>
      <c r="F72" s="6" t="s">
        <v>561</v>
      </c>
    </row>
    <row r="73" customFormat="false" ht="15" hidden="false" customHeight="false" outlineLevel="0" collapsed="false">
      <c r="A73" s="6" t="s">
        <v>633</v>
      </c>
      <c r="B73" s="6" t="n">
        <v>0</v>
      </c>
      <c r="C73" s="6" t="n">
        <v>528</v>
      </c>
      <c r="D73" s="7" t="n">
        <v>0</v>
      </c>
      <c r="E73" s="8" t="n">
        <v>13.81</v>
      </c>
      <c r="F73" s="6" t="s">
        <v>561</v>
      </c>
    </row>
    <row r="74" customFormat="false" ht="15" hidden="false" customHeight="false" outlineLevel="0" collapsed="false">
      <c r="A74" s="6" t="s">
        <v>634</v>
      </c>
      <c r="B74" s="6" t="n">
        <v>0</v>
      </c>
      <c r="C74" s="6" t="n">
        <v>414</v>
      </c>
      <c r="D74" s="7" t="n">
        <v>0</v>
      </c>
      <c r="E74" s="8" t="n">
        <v>4.24</v>
      </c>
      <c r="F74" s="6" t="s">
        <v>569</v>
      </c>
    </row>
    <row r="75" customFormat="false" ht="15" hidden="false" customHeight="false" outlineLevel="0" collapsed="false">
      <c r="A75" s="6" t="s">
        <v>635</v>
      </c>
      <c r="B75" s="6" t="n">
        <v>0</v>
      </c>
      <c r="C75" s="6" t="n">
        <v>373</v>
      </c>
      <c r="D75" s="7" t="n">
        <v>0</v>
      </c>
      <c r="E75" s="8" t="n">
        <v>9.53</v>
      </c>
      <c r="F75" s="6" t="s">
        <v>561</v>
      </c>
    </row>
    <row r="76" customFormat="false" ht="15" hidden="false" customHeight="false" outlineLevel="0" collapsed="false">
      <c r="A76" s="6" t="s">
        <v>636</v>
      </c>
      <c r="B76" s="6" t="n">
        <v>0</v>
      </c>
      <c r="C76" s="6" t="n">
        <v>357</v>
      </c>
      <c r="D76" s="7" t="n">
        <v>0</v>
      </c>
      <c r="E76" s="8" t="n">
        <v>11.16</v>
      </c>
      <c r="F76" s="6" t="s">
        <v>561</v>
      </c>
    </row>
    <row r="77" customFormat="false" ht="15" hidden="false" customHeight="false" outlineLevel="0" collapsed="false">
      <c r="A77" s="6" t="s">
        <v>637</v>
      </c>
      <c r="B77" s="6" t="n">
        <v>0</v>
      </c>
      <c r="C77" s="6" t="n">
        <v>336</v>
      </c>
      <c r="D77" s="7" t="n">
        <v>0</v>
      </c>
      <c r="E77" s="8" t="n">
        <v>57.5</v>
      </c>
      <c r="F77" s="6" t="s">
        <v>561</v>
      </c>
    </row>
    <row r="78" customFormat="false" ht="15" hidden="false" customHeight="false" outlineLevel="0" collapsed="false">
      <c r="A78" s="6" t="s">
        <v>638</v>
      </c>
      <c r="B78" s="6" t="n">
        <v>0</v>
      </c>
      <c r="C78" s="6" t="n">
        <v>319</v>
      </c>
      <c r="D78" s="7" t="n">
        <v>0</v>
      </c>
      <c r="E78" s="8" t="n">
        <v>72.77</v>
      </c>
      <c r="F78" s="6" t="s">
        <v>561</v>
      </c>
    </row>
    <row r="79" customFormat="false" ht="15" hidden="false" customHeight="false" outlineLevel="0" collapsed="false">
      <c r="A79" s="6" t="s">
        <v>639</v>
      </c>
      <c r="B79" s="6" t="n">
        <v>0</v>
      </c>
      <c r="C79" s="6" t="n">
        <v>301</v>
      </c>
      <c r="D79" s="7" t="n">
        <v>0</v>
      </c>
      <c r="E79" s="8" t="n">
        <v>8.87</v>
      </c>
      <c r="F79" s="6" t="s">
        <v>561</v>
      </c>
    </row>
    <row r="80" customFormat="false" ht="15" hidden="false" customHeight="false" outlineLevel="0" collapsed="false">
      <c r="A80" s="6" t="s">
        <v>640</v>
      </c>
      <c r="B80" s="6" t="n">
        <v>0</v>
      </c>
      <c r="C80" s="6" t="n">
        <v>226</v>
      </c>
      <c r="D80" s="7" t="n">
        <v>0</v>
      </c>
      <c r="E80" s="8" t="n">
        <v>36.15</v>
      </c>
      <c r="F80" s="6" t="s">
        <v>561</v>
      </c>
    </row>
    <row r="81" customFormat="false" ht="15" hidden="false" customHeight="false" outlineLevel="0" collapsed="false">
      <c r="A81" s="6" t="s">
        <v>641</v>
      </c>
      <c r="B81" s="6" t="n">
        <v>0</v>
      </c>
      <c r="C81" s="6" t="n">
        <v>170</v>
      </c>
      <c r="D81" s="7" t="n">
        <v>0</v>
      </c>
      <c r="E81" s="8" t="n">
        <v>8.97</v>
      </c>
      <c r="F81" s="6" t="s">
        <v>561</v>
      </c>
    </row>
    <row r="82" customFormat="false" ht="15" hidden="false" customHeight="false" outlineLevel="0" collapsed="false">
      <c r="A82" s="6" t="s">
        <v>642</v>
      </c>
      <c r="B82" s="6" t="n">
        <v>0</v>
      </c>
      <c r="C82" s="6" t="n">
        <v>170</v>
      </c>
      <c r="D82" s="7" t="n">
        <v>0</v>
      </c>
      <c r="E82" s="8" t="n">
        <v>49.06</v>
      </c>
      <c r="F82" s="6" t="s">
        <v>569</v>
      </c>
    </row>
    <row r="83" customFormat="false" ht="15" hidden="false" customHeight="false" outlineLevel="0" collapsed="false">
      <c r="A83" s="6" t="s">
        <v>643</v>
      </c>
      <c r="B83" s="6" t="n">
        <v>0</v>
      </c>
      <c r="C83" s="6" t="n">
        <v>160</v>
      </c>
      <c r="D83" s="7" t="n">
        <v>0</v>
      </c>
      <c r="E83" s="8" t="n">
        <v>56.09</v>
      </c>
      <c r="F83" s="6" t="s">
        <v>569</v>
      </c>
    </row>
    <row r="84" customFormat="false" ht="15" hidden="false" customHeight="false" outlineLevel="0" collapsed="false">
      <c r="A84" s="6" t="s">
        <v>644</v>
      </c>
      <c r="B84" s="6" t="n">
        <v>0</v>
      </c>
      <c r="C84" s="6" t="n">
        <v>158</v>
      </c>
      <c r="D84" s="7" t="n">
        <v>0</v>
      </c>
      <c r="E84" s="8" t="n">
        <v>47.56</v>
      </c>
      <c r="F84" s="6" t="s">
        <v>561</v>
      </c>
    </row>
    <row r="85" customFormat="false" ht="15" hidden="false" customHeight="false" outlineLevel="0" collapsed="false">
      <c r="A85" s="6" t="s">
        <v>645</v>
      </c>
      <c r="B85" s="6" t="n">
        <v>0</v>
      </c>
      <c r="C85" s="6" t="n">
        <v>135</v>
      </c>
      <c r="D85" s="7" t="n">
        <v>0</v>
      </c>
      <c r="E85" s="8" t="n">
        <v>29.98</v>
      </c>
      <c r="F85" s="6" t="s">
        <v>569</v>
      </c>
    </row>
    <row r="86" customFormat="false" ht="15" hidden="false" customHeight="false" outlineLevel="0" collapsed="false">
      <c r="A86" s="6" t="s">
        <v>646</v>
      </c>
      <c r="B86" s="6" t="n">
        <v>0</v>
      </c>
      <c r="C86" s="6" t="n">
        <v>131</v>
      </c>
      <c r="D86" s="7" t="n">
        <v>0</v>
      </c>
      <c r="E86" s="8" t="n">
        <v>44.58</v>
      </c>
      <c r="F86" s="6" t="s">
        <v>561</v>
      </c>
    </row>
    <row r="87" customFormat="false" ht="15" hidden="false" customHeight="false" outlineLevel="0" collapsed="false">
      <c r="A87" s="6" t="s">
        <v>647</v>
      </c>
      <c r="B87" s="6" t="n">
        <v>0</v>
      </c>
      <c r="C87" s="6" t="n">
        <v>130</v>
      </c>
      <c r="D87" s="7" t="n">
        <v>0</v>
      </c>
      <c r="E87" s="8" t="n">
        <v>46.35</v>
      </c>
      <c r="F87" s="6" t="s">
        <v>561</v>
      </c>
    </row>
    <row r="88" customFormat="false" ht="15" hidden="false" customHeight="false" outlineLevel="0" collapsed="false">
      <c r="A88" s="6" t="s">
        <v>648</v>
      </c>
      <c r="B88" s="6" t="n">
        <v>0</v>
      </c>
      <c r="C88" s="6" t="n">
        <v>124</v>
      </c>
      <c r="D88" s="7" t="n">
        <v>0</v>
      </c>
      <c r="E88" s="8" t="n">
        <v>56.9</v>
      </c>
      <c r="F88" s="6" t="s">
        <v>569</v>
      </c>
    </row>
    <row r="89" customFormat="false" ht="15" hidden="false" customHeight="false" outlineLevel="0" collapsed="false">
      <c r="A89" s="6" t="s">
        <v>649</v>
      </c>
      <c r="B89" s="6" t="n">
        <v>0</v>
      </c>
      <c r="C89" s="6" t="n">
        <v>120</v>
      </c>
      <c r="D89" s="7" t="n">
        <v>0</v>
      </c>
      <c r="E89" s="8" t="n">
        <v>59.28</v>
      </c>
      <c r="F89" s="6" t="s">
        <v>569</v>
      </c>
    </row>
    <row r="90" customFormat="false" ht="15" hidden="false" customHeight="false" outlineLevel="0" collapsed="false">
      <c r="A90" s="6" t="s">
        <v>650</v>
      </c>
      <c r="B90" s="6" t="n">
        <v>0</v>
      </c>
      <c r="C90" s="6" t="n">
        <v>115</v>
      </c>
      <c r="D90" s="7" t="n">
        <v>0</v>
      </c>
      <c r="E90" s="8" t="n">
        <v>46.25</v>
      </c>
      <c r="F90" s="6" t="s">
        <v>569</v>
      </c>
    </row>
    <row r="91" customFormat="false" ht="15" hidden="false" customHeight="false" outlineLevel="0" collapsed="false">
      <c r="A91" s="6" t="s">
        <v>651</v>
      </c>
      <c r="B91" s="6" t="n">
        <v>0</v>
      </c>
      <c r="C91" s="6" t="n">
        <v>114</v>
      </c>
      <c r="D91" s="7" t="n">
        <v>0</v>
      </c>
      <c r="E91" s="8" t="n">
        <v>37.32</v>
      </c>
      <c r="F91" s="6" t="s">
        <v>561</v>
      </c>
    </row>
    <row r="92" customFormat="false" ht="15" hidden="false" customHeight="false" outlineLevel="0" collapsed="false">
      <c r="A92" s="6" t="s">
        <v>652</v>
      </c>
      <c r="B92" s="6" t="n">
        <v>0</v>
      </c>
      <c r="C92" s="6" t="n">
        <v>113</v>
      </c>
      <c r="D92" s="7" t="n">
        <v>0</v>
      </c>
      <c r="E92" s="8" t="n">
        <v>56.58</v>
      </c>
      <c r="F92" s="6" t="s">
        <v>569</v>
      </c>
    </row>
    <row r="93" customFormat="false" ht="15" hidden="false" customHeight="false" outlineLevel="0" collapsed="false">
      <c r="A93" s="6" t="s">
        <v>653</v>
      </c>
      <c r="B93" s="6" t="n">
        <v>0</v>
      </c>
      <c r="C93" s="6" t="n">
        <v>112</v>
      </c>
      <c r="D93" s="7" t="n">
        <v>0</v>
      </c>
      <c r="E93" s="8" t="n">
        <v>10.88</v>
      </c>
      <c r="F93" s="6" t="s">
        <v>561</v>
      </c>
    </row>
    <row r="94" customFormat="false" ht="15" hidden="false" customHeight="false" outlineLevel="0" collapsed="false">
      <c r="A94" s="6" t="s">
        <v>654</v>
      </c>
      <c r="B94" s="6" t="n">
        <v>0</v>
      </c>
      <c r="C94" s="6" t="n">
        <v>89</v>
      </c>
      <c r="D94" s="7" t="n">
        <v>0</v>
      </c>
      <c r="E94" s="8" t="n">
        <v>49.1</v>
      </c>
      <c r="F94" s="6" t="s">
        <v>561</v>
      </c>
    </row>
    <row r="95" customFormat="false" ht="15" hidden="false" customHeight="false" outlineLevel="0" collapsed="false">
      <c r="A95" s="6" t="s">
        <v>655</v>
      </c>
      <c r="B95" s="6" t="n">
        <v>0</v>
      </c>
      <c r="C95" s="6" t="n">
        <v>87</v>
      </c>
      <c r="D95" s="7" t="n">
        <v>0</v>
      </c>
      <c r="E95" s="8" t="n">
        <v>7.76</v>
      </c>
      <c r="F95" s="6" t="s">
        <v>561</v>
      </c>
    </row>
    <row r="96" customFormat="false" ht="15" hidden="false" customHeight="false" outlineLevel="0" collapsed="false">
      <c r="A96" s="6" t="s">
        <v>656</v>
      </c>
      <c r="B96" s="6" t="n">
        <v>0</v>
      </c>
      <c r="C96" s="6" t="n">
        <v>87</v>
      </c>
      <c r="D96" s="7" t="n">
        <v>0</v>
      </c>
      <c r="E96" s="8" t="n">
        <v>17.84</v>
      </c>
      <c r="F96" s="6" t="s">
        <v>561</v>
      </c>
    </row>
    <row r="97" customFormat="false" ht="15" hidden="false" customHeight="false" outlineLevel="0" collapsed="false">
      <c r="A97" s="6" t="s">
        <v>657</v>
      </c>
      <c r="B97" s="6" t="n">
        <v>0</v>
      </c>
      <c r="C97" s="6" t="n">
        <v>86</v>
      </c>
      <c r="D97" s="7" t="n">
        <v>0</v>
      </c>
      <c r="E97" s="8" t="n">
        <v>57.37</v>
      </c>
      <c r="F97" s="6" t="s">
        <v>569</v>
      </c>
    </row>
    <row r="98" customFormat="false" ht="15" hidden="false" customHeight="false" outlineLevel="0" collapsed="false">
      <c r="A98" s="6" t="s">
        <v>658</v>
      </c>
      <c r="B98" s="6" t="n">
        <v>0</v>
      </c>
      <c r="C98" s="6" t="n">
        <v>85</v>
      </c>
      <c r="D98" s="7" t="n">
        <v>0</v>
      </c>
      <c r="E98" s="8" t="n">
        <v>45.44</v>
      </c>
      <c r="F98" s="6" t="s">
        <v>569</v>
      </c>
    </row>
    <row r="99" customFormat="false" ht="15" hidden="false" customHeight="false" outlineLevel="0" collapsed="false">
      <c r="A99" s="6" t="s">
        <v>659</v>
      </c>
      <c r="B99" s="6" t="n">
        <v>0</v>
      </c>
      <c r="C99" s="6" t="n">
        <v>82</v>
      </c>
      <c r="D99" s="7" t="n">
        <v>0</v>
      </c>
      <c r="E99" s="8" t="n">
        <v>8.7</v>
      </c>
      <c r="F99" s="6" t="s">
        <v>561</v>
      </c>
    </row>
    <row r="100" customFormat="false" ht="15" hidden="false" customHeight="false" outlineLevel="0" collapsed="false">
      <c r="A100" s="6" t="s">
        <v>660</v>
      </c>
      <c r="B100" s="6" t="n">
        <v>0</v>
      </c>
      <c r="C100" s="6" t="n">
        <v>81</v>
      </c>
      <c r="D100" s="7" t="n">
        <v>0</v>
      </c>
      <c r="E100" s="8" t="n">
        <v>41.27</v>
      </c>
      <c r="F100" s="6" t="s">
        <v>569</v>
      </c>
    </row>
    <row r="101" customFormat="false" ht="15" hidden="false" customHeight="false" outlineLevel="0" collapsed="false">
      <c r="A101" s="6" t="s">
        <v>661</v>
      </c>
      <c r="B101" s="6" t="n">
        <v>0</v>
      </c>
      <c r="C101" s="6" t="n">
        <v>75</v>
      </c>
      <c r="D101" s="7" t="n">
        <v>0</v>
      </c>
      <c r="E101" s="8" t="n">
        <v>21.79</v>
      </c>
      <c r="F101" s="6" t="s">
        <v>561</v>
      </c>
    </row>
    <row r="102" customFormat="false" ht="15" hidden="false" customHeight="false" outlineLevel="0" collapsed="false">
      <c r="A102" s="6" t="s">
        <v>662</v>
      </c>
      <c r="B102" s="6" t="n">
        <v>0</v>
      </c>
      <c r="C102" s="6" t="n">
        <v>72</v>
      </c>
      <c r="D102" s="7" t="n">
        <v>0</v>
      </c>
      <c r="E102" s="8" t="n">
        <v>12.03</v>
      </c>
      <c r="F102" s="6" t="s">
        <v>561</v>
      </c>
    </row>
    <row r="103" customFormat="false" ht="15" hidden="false" customHeight="false" outlineLevel="0" collapsed="false">
      <c r="A103" s="6" t="s">
        <v>663</v>
      </c>
      <c r="B103" s="6" t="n">
        <v>0</v>
      </c>
      <c r="C103" s="6" t="n">
        <v>72</v>
      </c>
      <c r="D103" s="7" t="n">
        <v>0</v>
      </c>
      <c r="E103" s="8" t="n">
        <v>69.49</v>
      </c>
      <c r="F103" s="6" t="s">
        <v>569</v>
      </c>
    </row>
    <row r="104" customFormat="false" ht="15" hidden="false" customHeight="false" outlineLevel="0" collapsed="false">
      <c r="A104" s="6" t="s">
        <v>664</v>
      </c>
      <c r="B104" s="6" t="n">
        <v>0</v>
      </c>
      <c r="C104" s="6" t="n">
        <v>71</v>
      </c>
      <c r="D104" s="7" t="n">
        <v>0</v>
      </c>
      <c r="E104" s="8" t="n">
        <v>9.23</v>
      </c>
      <c r="F104" s="6" t="s">
        <v>561</v>
      </c>
    </row>
    <row r="105" customFormat="false" ht="15" hidden="false" customHeight="false" outlineLevel="0" collapsed="false">
      <c r="A105" s="6" t="s">
        <v>665</v>
      </c>
      <c r="B105" s="6" t="n">
        <v>0</v>
      </c>
      <c r="C105" s="6" t="n">
        <v>70</v>
      </c>
      <c r="D105" s="7" t="n">
        <v>0</v>
      </c>
      <c r="E105" s="8" t="n">
        <v>13.84</v>
      </c>
      <c r="F105" s="6" t="s">
        <v>561</v>
      </c>
    </row>
    <row r="106" customFormat="false" ht="15" hidden="false" customHeight="false" outlineLevel="0" collapsed="false">
      <c r="A106" s="6" t="s">
        <v>666</v>
      </c>
      <c r="B106" s="6" t="n">
        <v>0</v>
      </c>
      <c r="C106" s="6" t="n">
        <v>67</v>
      </c>
      <c r="D106" s="7" t="n">
        <v>0</v>
      </c>
      <c r="E106" s="8" t="n">
        <v>67.61</v>
      </c>
      <c r="F106" s="6" t="s">
        <v>569</v>
      </c>
    </row>
    <row r="107" customFormat="false" ht="15" hidden="false" customHeight="false" outlineLevel="0" collapsed="false">
      <c r="A107" s="6" t="s">
        <v>667</v>
      </c>
      <c r="B107" s="6" t="n">
        <v>0</v>
      </c>
      <c r="C107" s="6" t="n">
        <v>65</v>
      </c>
      <c r="D107" s="7" t="n">
        <v>0</v>
      </c>
      <c r="E107" s="8" t="n">
        <v>25.23</v>
      </c>
      <c r="F107" s="6" t="s">
        <v>561</v>
      </c>
    </row>
    <row r="108" customFormat="false" ht="15" hidden="false" customHeight="false" outlineLevel="0" collapsed="false">
      <c r="A108" s="6" t="s">
        <v>668</v>
      </c>
      <c r="B108" s="6" t="n">
        <v>0</v>
      </c>
      <c r="C108" s="6" t="n">
        <v>64</v>
      </c>
      <c r="D108" s="7" t="n">
        <v>0</v>
      </c>
      <c r="E108" s="8" t="n">
        <v>13</v>
      </c>
      <c r="F108" s="6" t="s">
        <v>561</v>
      </c>
    </row>
    <row r="109" customFormat="false" ht="15" hidden="false" customHeight="false" outlineLevel="0" collapsed="false">
      <c r="A109" s="6" t="s">
        <v>669</v>
      </c>
      <c r="B109" s="6" t="n">
        <v>0</v>
      </c>
      <c r="C109" s="6" t="n">
        <v>63</v>
      </c>
      <c r="D109" s="7" t="n">
        <v>0</v>
      </c>
      <c r="E109" s="8" t="n">
        <v>24.37</v>
      </c>
      <c r="F109" s="6" t="s">
        <v>561</v>
      </c>
    </row>
    <row r="110" customFormat="false" ht="15" hidden="false" customHeight="false" outlineLevel="0" collapsed="false">
      <c r="A110" s="6" t="s">
        <v>670</v>
      </c>
      <c r="B110" s="6" t="n">
        <v>0</v>
      </c>
      <c r="C110" s="6" t="n">
        <v>60</v>
      </c>
      <c r="D110" s="7" t="n">
        <v>0</v>
      </c>
      <c r="E110" s="8" t="n">
        <v>13.73</v>
      </c>
      <c r="F110" s="6" t="s">
        <v>561</v>
      </c>
    </row>
    <row r="111" customFormat="false" ht="15" hidden="false" customHeight="false" outlineLevel="0" collapsed="false">
      <c r="A111" s="6" t="s">
        <v>671</v>
      </c>
      <c r="B111" s="6" t="n">
        <v>0</v>
      </c>
      <c r="C111" s="6" t="n">
        <v>58</v>
      </c>
      <c r="D111" s="7" t="n">
        <v>0</v>
      </c>
      <c r="E111" s="8" t="n">
        <v>28.79</v>
      </c>
      <c r="F111" s="6" t="s">
        <v>561</v>
      </c>
    </row>
    <row r="112" customFormat="false" ht="15" hidden="false" customHeight="false" outlineLevel="0" collapsed="false">
      <c r="A112" s="6" t="s">
        <v>672</v>
      </c>
      <c r="B112" s="6" t="n">
        <v>0</v>
      </c>
      <c r="C112" s="6" t="n">
        <v>57</v>
      </c>
      <c r="D112" s="7" t="n">
        <v>0</v>
      </c>
      <c r="E112" s="8" t="n">
        <v>9.3</v>
      </c>
      <c r="F112" s="6" t="s">
        <v>561</v>
      </c>
    </row>
    <row r="113" customFormat="false" ht="15" hidden="false" customHeight="false" outlineLevel="0" collapsed="false">
      <c r="A113" s="6" t="s">
        <v>673</v>
      </c>
      <c r="B113" s="6" t="n">
        <v>0</v>
      </c>
      <c r="C113" s="6" t="n">
        <v>56</v>
      </c>
      <c r="D113" s="7" t="n">
        <v>0</v>
      </c>
      <c r="E113" s="8" t="n">
        <v>37.41</v>
      </c>
      <c r="F113" s="6" t="s">
        <v>561</v>
      </c>
    </row>
    <row r="114" customFormat="false" ht="15" hidden="false" customHeight="false" outlineLevel="0" collapsed="false">
      <c r="A114" s="6" t="s">
        <v>674</v>
      </c>
      <c r="B114" s="6" t="n">
        <v>0</v>
      </c>
      <c r="C114" s="6" t="n">
        <v>50</v>
      </c>
      <c r="D114" s="7" t="n">
        <v>0</v>
      </c>
      <c r="E114" s="8" t="n">
        <v>5.32</v>
      </c>
      <c r="F114" s="6" t="s">
        <v>561</v>
      </c>
    </row>
    <row r="115" customFormat="false" ht="15" hidden="false" customHeight="false" outlineLevel="0" collapsed="false">
      <c r="A115" s="6" t="s">
        <v>675</v>
      </c>
      <c r="B115" s="6" t="n">
        <v>0</v>
      </c>
      <c r="C115" s="6" t="n">
        <v>49</v>
      </c>
      <c r="D115" s="7" t="n">
        <v>0</v>
      </c>
      <c r="E115" s="8" t="n">
        <v>21.53</v>
      </c>
      <c r="F115" s="6" t="s">
        <v>561</v>
      </c>
    </row>
    <row r="116" customFormat="false" ht="15" hidden="false" customHeight="false" outlineLevel="0" collapsed="false">
      <c r="A116" s="6" t="s">
        <v>676</v>
      </c>
      <c r="B116" s="6" t="n">
        <v>0</v>
      </c>
      <c r="C116" s="6" t="n">
        <v>48</v>
      </c>
      <c r="D116" s="7" t="n">
        <v>0</v>
      </c>
      <c r="E116" s="8" t="n">
        <v>20.31</v>
      </c>
      <c r="F116" s="6" t="s">
        <v>561</v>
      </c>
    </row>
    <row r="117" customFormat="false" ht="15" hidden="false" customHeight="false" outlineLevel="0" collapsed="false">
      <c r="A117" s="6" t="s">
        <v>677</v>
      </c>
      <c r="B117" s="6" t="n">
        <v>0</v>
      </c>
      <c r="C117" s="6" t="n">
        <v>47</v>
      </c>
      <c r="D117" s="7" t="n">
        <v>0</v>
      </c>
      <c r="E117" s="8" t="n">
        <v>3.32</v>
      </c>
      <c r="F117" s="6" t="s">
        <v>569</v>
      </c>
    </row>
    <row r="118" customFormat="false" ht="15" hidden="false" customHeight="false" outlineLevel="0" collapsed="false">
      <c r="A118" s="6" t="s">
        <v>678</v>
      </c>
      <c r="B118" s="6" t="n">
        <v>0</v>
      </c>
      <c r="C118" s="6" t="n">
        <v>47</v>
      </c>
      <c r="D118" s="7" t="n">
        <v>0</v>
      </c>
      <c r="E118" s="8" t="n">
        <v>3.89</v>
      </c>
      <c r="F118" s="6" t="s">
        <v>569</v>
      </c>
    </row>
    <row r="119" customFormat="false" ht="15" hidden="false" customHeight="false" outlineLevel="0" collapsed="false">
      <c r="A119" s="6" t="s">
        <v>679</v>
      </c>
      <c r="B119" s="6" t="n">
        <v>0</v>
      </c>
      <c r="C119" s="6" t="n">
        <v>46</v>
      </c>
      <c r="D119" s="7" t="n">
        <v>0</v>
      </c>
      <c r="E119" s="8" t="n">
        <v>48.67</v>
      </c>
      <c r="F119" s="6" t="s">
        <v>569</v>
      </c>
    </row>
    <row r="120" customFormat="false" ht="15" hidden="false" customHeight="false" outlineLevel="0" collapsed="false">
      <c r="A120" s="6" t="s">
        <v>680</v>
      </c>
      <c r="B120" s="6" t="n">
        <v>0</v>
      </c>
      <c r="C120" s="6" t="n">
        <v>46</v>
      </c>
      <c r="D120" s="7" t="n">
        <v>0</v>
      </c>
      <c r="E120" s="8" t="n">
        <v>63.3</v>
      </c>
      <c r="F120" s="6" t="s">
        <v>561</v>
      </c>
    </row>
    <row r="121" customFormat="false" ht="15" hidden="false" customHeight="false" outlineLevel="0" collapsed="false">
      <c r="A121" s="6" t="s">
        <v>681</v>
      </c>
      <c r="B121" s="6" t="n">
        <v>0</v>
      </c>
      <c r="C121" s="6" t="n">
        <v>45</v>
      </c>
      <c r="D121" s="7" t="n">
        <v>0</v>
      </c>
      <c r="E121" s="8" t="n">
        <v>20.56</v>
      </c>
      <c r="F121" s="6" t="s">
        <v>561</v>
      </c>
    </row>
    <row r="122" customFormat="false" ht="15" hidden="false" customHeight="false" outlineLevel="0" collapsed="false">
      <c r="A122" s="6" t="s">
        <v>682</v>
      </c>
      <c r="B122" s="6" t="n">
        <v>0</v>
      </c>
      <c r="C122" s="6" t="n">
        <v>43</v>
      </c>
      <c r="D122" s="7" t="n">
        <v>0</v>
      </c>
      <c r="E122" s="8" t="n">
        <v>6.16</v>
      </c>
      <c r="F122" s="6" t="s">
        <v>561</v>
      </c>
    </row>
    <row r="123" customFormat="false" ht="15" hidden="false" customHeight="false" outlineLevel="0" collapsed="false">
      <c r="A123" s="6" t="s">
        <v>683</v>
      </c>
      <c r="B123" s="6" t="n">
        <v>0</v>
      </c>
      <c r="C123" s="6" t="n">
        <v>42</v>
      </c>
      <c r="D123" s="7" t="n">
        <v>0</v>
      </c>
      <c r="E123" s="8" t="n">
        <v>7.17</v>
      </c>
      <c r="F123" s="6" t="s">
        <v>569</v>
      </c>
    </row>
    <row r="124" customFormat="false" ht="15" hidden="false" customHeight="false" outlineLevel="0" collapsed="false">
      <c r="A124" s="6" t="s">
        <v>684</v>
      </c>
      <c r="B124" s="6" t="n">
        <v>0</v>
      </c>
      <c r="C124" s="6" t="n">
        <v>39</v>
      </c>
      <c r="D124" s="7" t="n">
        <v>0</v>
      </c>
      <c r="E124" s="8" t="n">
        <v>11.67</v>
      </c>
      <c r="F124" s="6" t="s">
        <v>561</v>
      </c>
    </row>
    <row r="125" customFormat="false" ht="15" hidden="false" customHeight="false" outlineLevel="0" collapsed="false">
      <c r="A125" s="6" t="s">
        <v>685</v>
      </c>
      <c r="B125" s="6" t="n">
        <v>0</v>
      </c>
      <c r="C125" s="6" t="n">
        <v>39</v>
      </c>
      <c r="D125" s="7" t="n">
        <v>0</v>
      </c>
      <c r="E125" s="8" t="n">
        <v>21.59</v>
      </c>
      <c r="F125" s="6" t="s">
        <v>569</v>
      </c>
    </row>
    <row r="126" customFormat="false" ht="15" hidden="false" customHeight="false" outlineLevel="0" collapsed="false">
      <c r="A126" s="6" t="s">
        <v>686</v>
      </c>
      <c r="B126" s="6" t="n">
        <v>0</v>
      </c>
      <c r="C126" s="6" t="n">
        <v>38</v>
      </c>
      <c r="D126" s="7" t="n">
        <v>0</v>
      </c>
      <c r="E126" s="8" t="n">
        <v>30.89</v>
      </c>
      <c r="F126" s="6" t="s">
        <v>561</v>
      </c>
    </row>
    <row r="127" customFormat="false" ht="15" hidden="false" customHeight="false" outlineLevel="0" collapsed="false">
      <c r="A127" s="6" t="s">
        <v>687</v>
      </c>
      <c r="B127" s="6" t="n">
        <v>0</v>
      </c>
      <c r="C127" s="6" t="n">
        <v>37</v>
      </c>
      <c r="D127" s="7" t="n">
        <v>0</v>
      </c>
      <c r="E127" s="8" t="n">
        <v>10.89</v>
      </c>
      <c r="F127" s="6" t="s">
        <v>569</v>
      </c>
    </row>
    <row r="128" customFormat="false" ht="15" hidden="false" customHeight="false" outlineLevel="0" collapsed="false">
      <c r="A128" s="6" t="s">
        <v>688</v>
      </c>
      <c r="B128" s="6" t="n">
        <v>0</v>
      </c>
      <c r="C128" s="6" t="n">
        <v>37</v>
      </c>
      <c r="D128" s="7" t="n">
        <v>0</v>
      </c>
      <c r="E128" s="8" t="n">
        <v>23.54</v>
      </c>
      <c r="F128" s="6" t="s">
        <v>561</v>
      </c>
    </row>
    <row r="129" customFormat="false" ht="15" hidden="false" customHeight="false" outlineLevel="0" collapsed="false">
      <c r="A129" s="6" t="s">
        <v>689</v>
      </c>
      <c r="B129" s="6" t="n">
        <v>0</v>
      </c>
      <c r="C129" s="6" t="n">
        <v>36</v>
      </c>
      <c r="D129" s="7" t="n">
        <v>0</v>
      </c>
      <c r="E129" s="8" t="n">
        <v>85.11</v>
      </c>
      <c r="F129" s="6" t="s">
        <v>561</v>
      </c>
    </row>
    <row r="130" customFormat="false" ht="15" hidden="false" customHeight="false" outlineLevel="0" collapsed="false">
      <c r="A130" s="6" t="s">
        <v>690</v>
      </c>
      <c r="B130" s="6" t="n">
        <v>0</v>
      </c>
      <c r="C130" s="6" t="n">
        <v>35</v>
      </c>
      <c r="D130" s="7" t="n">
        <v>0</v>
      </c>
      <c r="E130" s="8" t="n">
        <v>56.91</v>
      </c>
      <c r="F130" s="6" t="s">
        <v>561</v>
      </c>
    </row>
    <row r="131" customFormat="false" ht="15" hidden="false" customHeight="false" outlineLevel="0" collapsed="false">
      <c r="A131" s="6" t="s">
        <v>691</v>
      </c>
      <c r="B131" s="6" t="n">
        <v>0</v>
      </c>
      <c r="C131" s="6" t="n">
        <v>34</v>
      </c>
      <c r="D131" s="7" t="n">
        <v>0</v>
      </c>
      <c r="E131" s="8" t="n">
        <v>18.18</v>
      </c>
      <c r="F131" s="6" t="s">
        <v>569</v>
      </c>
    </row>
    <row r="132" customFormat="false" ht="15" hidden="false" customHeight="false" outlineLevel="0" collapsed="false">
      <c r="A132" s="6" t="s">
        <v>692</v>
      </c>
      <c r="B132" s="6" t="n">
        <v>0</v>
      </c>
      <c r="C132" s="6" t="n">
        <v>34</v>
      </c>
      <c r="D132" s="7" t="n">
        <v>0</v>
      </c>
      <c r="E132" s="8" t="n">
        <v>47.65</v>
      </c>
      <c r="F132" s="6" t="s">
        <v>569</v>
      </c>
    </row>
    <row r="133" customFormat="false" ht="15" hidden="false" customHeight="false" outlineLevel="0" collapsed="false">
      <c r="A133" s="6" t="s">
        <v>693</v>
      </c>
      <c r="B133" s="6" t="n">
        <v>0</v>
      </c>
      <c r="C133" s="6" t="n">
        <v>32</v>
      </c>
      <c r="D133" s="7" t="n">
        <v>0</v>
      </c>
      <c r="E133" s="8" t="n">
        <v>24.62</v>
      </c>
      <c r="F133" s="6" t="s">
        <v>569</v>
      </c>
    </row>
    <row r="134" customFormat="false" ht="15" hidden="false" customHeight="false" outlineLevel="0" collapsed="false">
      <c r="A134" s="6" t="s">
        <v>694</v>
      </c>
      <c r="B134" s="6" t="n">
        <v>0</v>
      </c>
      <c r="C134" s="6" t="n">
        <v>31</v>
      </c>
      <c r="D134" s="7" t="n">
        <v>0</v>
      </c>
      <c r="E134" s="8" t="n">
        <v>47.68</v>
      </c>
      <c r="F134" s="6" t="s">
        <v>561</v>
      </c>
    </row>
    <row r="135" customFormat="false" ht="15" hidden="false" customHeight="false" outlineLevel="0" collapsed="false">
      <c r="A135" s="6" t="s">
        <v>695</v>
      </c>
      <c r="B135" s="6" t="n">
        <v>0</v>
      </c>
      <c r="C135" s="6" t="n">
        <v>26</v>
      </c>
      <c r="D135" s="7" t="n">
        <v>0</v>
      </c>
      <c r="E135" s="8" t="n">
        <v>35.38</v>
      </c>
      <c r="F135" s="6" t="s">
        <v>561</v>
      </c>
    </row>
    <row r="136" customFormat="false" ht="15" hidden="false" customHeight="false" outlineLevel="0" collapsed="false">
      <c r="A136" s="6" t="s">
        <v>696</v>
      </c>
      <c r="B136" s="6" t="n">
        <v>0</v>
      </c>
      <c r="C136" s="6" t="n">
        <v>24</v>
      </c>
      <c r="D136" s="7" t="n">
        <v>0</v>
      </c>
      <c r="E136" s="8" t="n">
        <v>54.58</v>
      </c>
      <c r="F136" s="6" t="s">
        <v>561</v>
      </c>
    </row>
    <row r="137" customFormat="false" ht="15" hidden="false" customHeight="false" outlineLevel="0" collapsed="false">
      <c r="A137" s="6" t="s">
        <v>697</v>
      </c>
      <c r="B137" s="6" t="n">
        <v>0</v>
      </c>
      <c r="C137" s="6" t="n">
        <v>23</v>
      </c>
      <c r="D137" s="7" t="n">
        <v>0</v>
      </c>
      <c r="E137" s="8" t="n">
        <v>7.7</v>
      </c>
      <c r="F137" s="6" t="s">
        <v>561</v>
      </c>
    </row>
    <row r="138" customFormat="false" ht="15" hidden="false" customHeight="false" outlineLevel="0" collapsed="false">
      <c r="A138" s="6" t="s">
        <v>698</v>
      </c>
      <c r="B138" s="6" t="n">
        <v>0</v>
      </c>
      <c r="C138" s="6" t="n">
        <v>22</v>
      </c>
      <c r="D138" s="7" t="n">
        <v>0</v>
      </c>
      <c r="E138" s="8" t="n">
        <v>43.77</v>
      </c>
      <c r="F138" s="6" t="s">
        <v>561</v>
      </c>
    </row>
    <row r="139" customFormat="false" ht="15" hidden="false" customHeight="false" outlineLevel="0" collapsed="false">
      <c r="A139" s="6" t="s">
        <v>699</v>
      </c>
      <c r="B139" s="6" t="n">
        <v>0</v>
      </c>
      <c r="C139" s="6" t="n">
        <v>21</v>
      </c>
      <c r="D139" s="7" t="n">
        <v>0</v>
      </c>
      <c r="E139" s="8" t="n">
        <v>30.86</v>
      </c>
      <c r="F139" s="6" t="s">
        <v>569</v>
      </c>
    </row>
    <row r="140" customFormat="false" ht="15" hidden="false" customHeight="false" outlineLevel="0" collapsed="false">
      <c r="A140" s="6" t="s">
        <v>700</v>
      </c>
      <c r="B140" s="6" t="n">
        <v>0</v>
      </c>
      <c r="C140" s="6" t="n">
        <v>20</v>
      </c>
      <c r="D140" s="7" t="n">
        <v>0</v>
      </c>
      <c r="E140" s="8" t="n">
        <v>35.45</v>
      </c>
      <c r="F140" s="6" t="s">
        <v>569</v>
      </c>
    </row>
    <row r="141" customFormat="false" ht="15" hidden="false" customHeight="false" outlineLevel="0" collapsed="false">
      <c r="A141" s="6" t="s">
        <v>701</v>
      </c>
      <c r="B141" s="6" t="n">
        <v>0</v>
      </c>
      <c r="C141" s="6" t="n">
        <v>19</v>
      </c>
      <c r="D141" s="7" t="n">
        <v>0</v>
      </c>
      <c r="E141" s="8" t="n">
        <v>7.05</v>
      </c>
      <c r="F141" s="6" t="s">
        <v>561</v>
      </c>
    </row>
    <row r="142" customFormat="false" ht="15" hidden="false" customHeight="false" outlineLevel="0" collapsed="false">
      <c r="A142" s="6" t="s">
        <v>702</v>
      </c>
      <c r="B142" s="6" t="n">
        <v>0</v>
      </c>
      <c r="C142" s="6" t="n">
        <v>19</v>
      </c>
      <c r="D142" s="7" t="n">
        <v>0</v>
      </c>
      <c r="E142" s="8" t="n">
        <v>60.63</v>
      </c>
      <c r="F142" s="6" t="s">
        <v>569</v>
      </c>
    </row>
    <row r="143" customFormat="false" ht="15" hidden="false" customHeight="false" outlineLevel="0" collapsed="false">
      <c r="A143" s="6" t="s">
        <v>703</v>
      </c>
      <c r="B143" s="6" t="n">
        <v>0</v>
      </c>
      <c r="C143" s="6" t="n">
        <v>17</v>
      </c>
      <c r="D143" s="7" t="n">
        <v>0</v>
      </c>
      <c r="E143" s="8" t="n">
        <v>11</v>
      </c>
      <c r="F143" s="6" t="s">
        <v>561</v>
      </c>
    </row>
    <row r="144" customFormat="false" ht="15" hidden="false" customHeight="false" outlineLevel="0" collapsed="false">
      <c r="A144" s="6" t="s">
        <v>704</v>
      </c>
      <c r="B144" s="6" t="n">
        <v>0</v>
      </c>
      <c r="C144" s="6" t="n">
        <v>14</v>
      </c>
      <c r="D144" s="7" t="n">
        <v>0</v>
      </c>
      <c r="E144" s="8" t="n">
        <v>10.29</v>
      </c>
      <c r="F144" s="6" t="s">
        <v>569</v>
      </c>
    </row>
    <row r="145" customFormat="false" ht="15" hidden="false" customHeight="false" outlineLevel="0" collapsed="false">
      <c r="A145" s="6" t="s">
        <v>705</v>
      </c>
      <c r="B145" s="6" t="n">
        <v>0</v>
      </c>
      <c r="C145" s="6" t="n">
        <v>14</v>
      </c>
      <c r="D145" s="7" t="n">
        <v>0</v>
      </c>
      <c r="E145" s="8" t="n">
        <v>33.21</v>
      </c>
      <c r="F145" s="6" t="s">
        <v>561</v>
      </c>
    </row>
    <row r="146" customFormat="false" ht="15" hidden="false" customHeight="false" outlineLevel="0" collapsed="false">
      <c r="A146" s="6" t="s">
        <v>706</v>
      </c>
      <c r="B146" s="6" t="n">
        <v>0</v>
      </c>
      <c r="C146" s="6" t="n">
        <v>13</v>
      </c>
      <c r="D146" s="7" t="n">
        <v>0</v>
      </c>
      <c r="E146" s="8" t="n">
        <v>5.54</v>
      </c>
      <c r="F146" s="6" t="s">
        <v>561</v>
      </c>
    </row>
    <row r="147" customFormat="false" ht="15" hidden="false" customHeight="false" outlineLevel="0" collapsed="false">
      <c r="A147" s="6" t="s">
        <v>707</v>
      </c>
      <c r="B147" s="6" t="n">
        <v>0</v>
      </c>
      <c r="C147" s="6" t="n">
        <v>13</v>
      </c>
      <c r="D147" s="7" t="n">
        <v>0</v>
      </c>
      <c r="E147" s="8" t="n">
        <v>33.38</v>
      </c>
      <c r="F147" s="6" t="s">
        <v>569</v>
      </c>
    </row>
    <row r="148" customFormat="false" ht="15" hidden="false" customHeight="false" outlineLevel="0" collapsed="false">
      <c r="A148" s="6" t="s">
        <v>708</v>
      </c>
      <c r="B148" s="6" t="n">
        <v>0</v>
      </c>
      <c r="C148" s="6" t="n">
        <v>12</v>
      </c>
      <c r="D148" s="7" t="n">
        <v>0</v>
      </c>
      <c r="E148" s="8" t="n">
        <v>13.33</v>
      </c>
      <c r="F148" s="6" t="s">
        <v>561</v>
      </c>
    </row>
    <row r="149" customFormat="false" ht="15" hidden="false" customHeight="false" outlineLevel="0" collapsed="false">
      <c r="A149" s="6" t="s">
        <v>709</v>
      </c>
      <c r="B149" s="6" t="n">
        <v>0</v>
      </c>
      <c r="C149" s="6" t="n">
        <v>12</v>
      </c>
      <c r="D149" s="7" t="n">
        <v>0</v>
      </c>
      <c r="E149" s="8" t="n">
        <v>28.25</v>
      </c>
      <c r="F149" s="6" t="s">
        <v>569</v>
      </c>
    </row>
    <row r="150" customFormat="false" ht="15" hidden="false" customHeight="false" outlineLevel="0" collapsed="false">
      <c r="A150" s="6" t="s">
        <v>710</v>
      </c>
      <c r="B150" s="6" t="n">
        <v>0</v>
      </c>
      <c r="C150" s="6" t="n">
        <v>11</v>
      </c>
      <c r="D150" s="7" t="n">
        <v>0</v>
      </c>
      <c r="E150" s="8" t="n">
        <v>41.82</v>
      </c>
      <c r="F150" s="6" t="s">
        <v>561</v>
      </c>
    </row>
    <row r="151" customFormat="false" ht="15" hidden="false" customHeight="false" outlineLevel="0" collapsed="false">
      <c r="A151" s="6" t="s">
        <v>711</v>
      </c>
      <c r="B151" s="6" t="n">
        <v>0</v>
      </c>
      <c r="C151" s="6" t="n">
        <v>11</v>
      </c>
      <c r="D151" s="7" t="n">
        <v>0</v>
      </c>
      <c r="E151" s="8" t="n">
        <v>58.55</v>
      </c>
      <c r="F151" s="6" t="s">
        <v>569</v>
      </c>
    </row>
    <row r="152" customFormat="false" ht="15" hidden="false" customHeight="false" outlineLevel="0" collapsed="false">
      <c r="A152" s="6" t="s">
        <v>712</v>
      </c>
      <c r="B152" s="6" t="n">
        <v>0</v>
      </c>
      <c r="C152" s="6" t="n">
        <v>10</v>
      </c>
      <c r="D152" s="7" t="n">
        <v>0</v>
      </c>
      <c r="E152" s="8" t="n">
        <v>3.3</v>
      </c>
      <c r="F152" s="6" t="s">
        <v>569</v>
      </c>
    </row>
    <row r="153" customFormat="false" ht="15" hidden="false" customHeight="false" outlineLevel="0" collapsed="false">
      <c r="A153" s="6" t="s">
        <v>713</v>
      </c>
      <c r="B153" s="6" t="n">
        <v>0</v>
      </c>
      <c r="C153" s="6" t="n">
        <v>10</v>
      </c>
      <c r="D153" s="7" t="n">
        <v>0</v>
      </c>
      <c r="E153" s="8" t="n">
        <v>15.7</v>
      </c>
      <c r="F153" s="6" t="s">
        <v>561</v>
      </c>
    </row>
    <row r="154" customFormat="false" ht="15" hidden="false" customHeight="false" outlineLevel="0" collapsed="false">
      <c r="A154" s="6" t="s">
        <v>714</v>
      </c>
      <c r="B154" s="6" t="n">
        <v>0</v>
      </c>
      <c r="C154" s="6" t="n">
        <v>10</v>
      </c>
      <c r="D154" s="7" t="n">
        <v>0</v>
      </c>
      <c r="E154" s="8" t="n">
        <v>50.4</v>
      </c>
      <c r="F154" s="6" t="s">
        <v>561</v>
      </c>
    </row>
    <row r="155" customFormat="false" ht="15" hidden="false" customHeight="false" outlineLevel="0" collapsed="false">
      <c r="A155" s="6" t="s">
        <v>715</v>
      </c>
      <c r="B155" s="6" t="n">
        <v>0</v>
      </c>
      <c r="C155" s="6" t="n">
        <v>9</v>
      </c>
      <c r="D155" s="7" t="n">
        <v>0</v>
      </c>
      <c r="E155" s="8" t="n">
        <v>5.56</v>
      </c>
      <c r="F155" s="6" t="s">
        <v>561</v>
      </c>
    </row>
    <row r="156" customFormat="false" ht="15" hidden="false" customHeight="false" outlineLevel="0" collapsed="false">
      <c r="A156" s="6" t="s">
        <v>716</v>
      </c>
      <c r="B156" s="6" t="n">
        <v>0</v>
      </c>
      <c r="C156" s="6" t="n">
        <v>9</v>
      </c>
      <c r="D156" s="7" t="n">
        <v>0</v>
      </c>
      <c r="E156" s="8" t="n">
        <v>8.11</v>
      </c>
      <c r="F156" s="6" t="s">
        <v>561</v>
      </c>
    </row>
    <row r="157" customFormat="false" ht="15" hidden="false" customHeight="false" outlineLevel="0" collapsed="false">
      <c r="A157" s="6" t="s">
        <v>717</v>
      </c>
      <c r="B157" s="6" t="n">
        <v>0</v>
      </c>
      <c r="C157" s="6" t="n">
        <v>9</v>
      </c>
      <c r="D157" s="7" t="n">
        <v>0</v>
      </c>
      <c r="E157" s="8" t="n">
        <v>29</v>
      </c>
      <c r="F157" s="6" t="s">
        <v>561</v>
      </c>
    </row>
    <row r="158" customFormat="false" ht="15" hidden="false" customHeight="false" outlineLevel="0" collapsed="false">
      <c r="A158" s="6" t="s">
        <v>718</v>
      </c>
      <c r="B158" s="6" t="n">
        <v>0</v>
      </c>
      <c r="C158" s="6" t="n">
        <v>9</v>
      </c>
      <c r="D158" s="7" t="n">
        <v>0</v>
      </c>
      <c r="E158" s="8" t="n">
        <v>31.67</v>
      </c>
      <c r="F158" s="6" t="s">
        <v>561</v>
      </c>
    </row>
    <row r="159" customFormat="false" ht="15" hidden="false" customHeight="false" outlineLevel="0" collapsed="false">
      <c r="A159" s="6" t="s">
        <v>719</v>
      </c>
      <c r="B159" s="6" t="n">
        <v>0</v>
      </c>
      <c r="C159" s="6" t="n">
        <v>8</v>
      </c>
      <c r="D159" s="7" t="n">
        <v>0</v>
      </c>
      <c r="E159" s="8" t="n">
        <v>35.62</v>
      </c>
      <c r="F159" s="6" t="s">
        <v>561</v>
      </c>
    </row>
    <row r="160" customFormat="false" ht="15" hidden="false" customHeight="false" outlineLevel="0" collapsed="false">
      <c r="A160" s="6" t="s">
        <v>720</v>
      </c>
      <c r="B160" s="6" t="n">
        <v>0</v>
      </c>
      <c r="C160" s="6" t="n">
        <v>8</v>
      </c>
      <c r="D160" s="7" t="n">
        <v>0</v>
      </c>
      <c r="E160" s="8" t="n">
        <v>42.38</v>
      </c>
      <c r="F160" s="6" t="s">
        <v>569</v>
      </c>
    </row>
    <row r="161" customFormat="false" ht="15" hidden="false" customHeight="false" outlineLevel="0" collapsed="false">
      <c r="A161" s="6" t="s">
        <v>721</v>
      </c>
      <c r="B161" s="6" t="n">
        <v>0</v>
      </c>
      <c r="C161" s="6" t="n">
        <v>7</v>
      </c>
      <c r="D161" s="7" t="n">
        <v>0</v>
      </c>
      <c r="E161" s="8" t="n">
        <v>6.86</v>
      </c>
      <c r="F161" s="6" t="s">
        <v>561</v>
      </c>
    </row>
    <row r="162" customFormat="false" ht="15" hidden="false" customHeight="false" outlineLevel="0" collapsed="false">
      <c r="A162" s="6" t="s">
        <v>722</v>
      </c>
      <c r="B162" s="6" t="n">
        <v>0</v>
      </c>
      <c r="C162" s="6" t="n">
        <v>7</v>
      </c>
      <c r="D162" s="7" t="n">
        <v>0</v>
      </c>
      <c r="E162" s="8" t="n">
        <v>24.14</v>
      </c>
      <c r="F162" s="6" t="s">
        <v>561</v>
      </c>
    </row>
    <row r="163" customFormat="false" ht="15" hidden="false" customHeight="false" outlineLevel="0" collapsed="false">
      <c r="A163" s="6" t="s">
        <v>723</v>
      </c>
      <c r="B163" s="6" t="n">
        <v>0</v>
      </c>
      <c r="C163" s="6" t="n">
        <v>7</v>
      </c>
      <c r="D163" s="7" t="n">
        <v>0</v>
      </c>
      <c r="E163" s="8" t="n">
        <v>37.57</v>
      </c>
      <c r="F163" s="6" t="s">
        <v>561</v>
      </c>
    </row>
    <row r="164" customFormat="false" ht="15" hidden="false" customHeight="false" outlineLevel="0" collapsed="false">
      <c r="A164" s="6" t="s">
        <v>724</v>
      </c>
      <c r="B164" s="6" t="n">
        <v>0</v>
      </c>
      <c r="C164" s="6" t="n">
        <v>7</v>
      </c>
      <c r="D164" s="7" t="n">
        <v>0</v>
      </c>
      <c r="E164" s="8" t="n">
        <v>63.71</v>
      </c>
      <c r="F164" s="6" t="s">
        <v>561</v>
      </c>
    </row>
    <row r="165" customFormat="false" ht="15" hidden="false" customHeight="false" outlineLevel="0" collapsed="false">
      <c r="A165" s="6" t="s">
        <v>725</v>
      </c>
      <c r="B165" s="6" t="n">
        <v>0</v>
      </c>
      <c r="C165" s="6" t="n">
        <v>6</v>
      </c>
      <c r="D165" s="7" t="n">
        <v>0</v>
      </c>
      <c r="E165" s="8" t="n">
        <v>8.17</v>
      </c>
      <c r="F165" s="6" t="s">
        <v>561</v>
      </c>
    </row>
    <row r="166" customFormat="false" ht="15" hidden="false" customHeight="false" outlineLevel="0" collapsed="false">
      <c r="A166" s="6" t="s">
        <v>726</v>
      </c>
      <c r="B166" s="6" t="n">
        <v>0</v>
      </c>
      <c r="C166" s="6" t="n">
        <v>6</v>
      </c>
      <c r="D166" s="7" t="n">
        <v>0</v>
      </c>
      <c r="E166" s="8" t="n">
        <v>18.33</v>
      </c>
      <c r="F166" s="6" t="s">
        <v>561</v>
      </c>
    </row>
    <row r="167" customFormat="false" ht="15" hidden="false" customHeight="false" outlineLevel="0" collapsed="false">
      <c r="A167" s="6" t="s">
        <v>727</v>
      </c>
      <c r="B167" s="6" t="n">
        <v>0</v>
      </c>
      <c r="C167" s="6" t="n">
        <v>6</v>
      </c>
      <c r="D167" s="7" t="n">
        <v>0</v>
      </c>
      <c r="E167" s="8" t="n">
        <v>24</v>
      </c>
      <c r="F167" s="6" t="s">
        <v>561</v>
      </c>
    </row>
    <row r="168" customFormat="false" ht="15" hidden="false" customHeight="false" outlineLevel="0" collapsed="false">
      <c r="A168" s="6" t="s">
        <v>728</v>
      </c>
      <c r="B168" s="6" t="n">
        <v>0</v>
      </c>
      <c r="C168" s="6" t="n">
        <v>6</v>
      </c>
      <c r="D168" s="7" t="n">
        <v>0</v>
      </c>
      <c r="E168" s="8" t="n">
        <v>34.83</v>
      </c>
      <c r="F168" s="6" t="s">
        <v>561</v>
      </c>
    </row>
    <row r="169" customFormat="false" ht="15" hidden="false" customHeight="false" outlineLevel="0" collapsed="false">
      <c r="A169" s="6" t="s">
        <v>729</v>
      </c>
      <c r="B169" s="6" t="n">
        <v>0</v>
      </c>
      <c r="C169" s="6" t="n">
        <v>6</v>
      </c>
      <c r="D169" s="7" t="n">
        <v>0</v>
      </c>
      <c r="E169" s="8" t="n">
        <v>55</v>
      </c>
      <c r="F169" s="6" t="s">
        <v>569</v>
      </c>
    </row>
    <row r="170" customFormat="false" ht="15" hidden="false" customHeight="false" outlineLevel="0" collapsed="false">
      <c r="A170" s="6" t="s">
        <v>730</v>
      </c>
      <c r="B170" s="6" t="n">
        <v>0</v>
      </c>
      <c r="C170" s="6" t="n">
        <v>6</v>
      </c>
      <c r="D170" s="7" t="n">
        <v>0</v>
      </c>
      <c r="E170" s="8" t="n">
        <v>79.33</v>
      </c>
      <c r="F170" s="6" t="s">
        <v>569</v>
      </c>
    </row>
    <row r="171" customFormat="false" ht="15" hidden="false" customHeight="false" outlineLevel="0" collapsed="false">
      <c r="A171" s="6" t="s">
        <v>731</v>
      </c>
      <c r="B171" s="6" t="n">
        <v>0</v>
      </c>
      <c r="C171" s="6" t="n">
        <v>5</v>
      </c>
      <c r="D171" s="7" t="n">
        <v>0</v>
      </c>
      <c r="E171" s="8" t="n">
        <v>6.2</v>
      </c>
      <c r="F171" s="6" t="s">
        <v>561</v>
      </c>
    </row>
    <row r="172" customFormat="false" ht="15" hidden="false" customHeight="false" outlineLevel="0" collapsed="false">
      <c r="A172" s="6" t="s">
        <v>732</v>
      </c>
      <c r="B172" s="6" t="n">
        <v>0</v>
      </c>
      <c r="C172" s="6" t="n">
        <v>5</v>
      </c>
      <c r="D172" s="7" t="n">
        <v>0</v>
      </c>
      <c r="E172" s="8" t="n">
        <v>8.2</v>
      </c>
      <c r="F172" s="6" t="s">
        <v>733</v>
      </c>
    </row>
    <row r="173" customFormat="false" ht="15" hidden="false" customHeight="false" outlineLevel="0" collapsed="false">
      <c r="A173" s="6" t="s">
        <v>734</v>
      </c>
      <c r="B173" s="6" t="n">
        <v>0</v>
      </c>
      <c r="C173" s="6" t="n">
        <v>5</v>
      </c>
      <c r="D173" s="7" t="n">
        <v>0</v>
      </c>
      <c r="E173" s="8" t="n">
        <v>10.6</v>
      </c>
      <c r="F173" s="6" t="s">
        <v>561</v>
      </c>
    </row>
    <row r="174" customFormat="false" ht="15" hidden="false" customHeight="false" outlineLevel="0" collapsed="false">
      <c r="A174" s="6" t="s">
        <v>735</v>
      </c>
      <c r="B174" s="6" t="n">
        <v>0</v>
      </c>
      <c r="C174" s="6" t="n">
        <v>5</v>
      </c>
      <c r="D174" s="7" t="n">
        <v>0</v>
      </c>
      <c r="E174" s="8" t="n">
        <v>11</v>
      </c>
      <c r="F174" s="6" t="s">
        <v>561</v>
      </c>
    </row>
    <row r="175" customFormat="false" ht="15" hidden="false" customHeight="false" outlineLevel="0" collapsed="false">
      <c r="A175" s="6" t="s">
        <v>736</v>
      </c>
      <c r="B175" s="6" t="n">
        <v>0</v>
      </c>
      <c r="C175" s="6" t="n">
        <v>5</v>
      </c>
      <c r="D175" s="7" t="n">
        <v>0</v>
      </c>
      <c r="E175" s="8" t="n">
        <v>16.4</v>
      </c>
      <c r="F175" s="6" t="s">
        <v>561</v>
      </c>
    </row>
    <row r="176" customFormat="false" ht="15" hidden="false" customHeight="false" outlineLevel="0" collapsed="false">
      <c r="A176" s="6" t="s">
        <v>737</v>
      </c>
      <c r="B176" s="6" t="n">
        <v>0</v>
      </c>
      <c r="C176" s="6" t="n">
        <v>5</v>
      </c>
      <c r="D176" s="7" t="n">
        <v>0</v>
      </c>
      <c r="E176" s="8" t="n">
        <v>49.4</v>
      </c>
      <c r="F176" s="6" t="s">
        <v>569</v>
      </c>
    </row>
    <row r="177" customFormat="false" ht="15" hidden="false" customHeight="false" outlineLevel="0" collapsed="false">
      <c r="A177" s="6" t="s">
        <v>738</v>
      </c>
      <c r="B177" s="6" t="n">
        <v>0</v>
      </c>
      <c r="C177" s="6" t="n">
        <v>4</v>
      </c>
      <c r="D177" s="7" t="n">
        <v>0</v>
      </c>
      <c r="E177" s="8" t="n">
        <v>10.5</v>
      </c>
      <c r="F177" s="6" t="s">
        <v>561</v>
      </c>
    </row>
    <row r="178" customFormat="false" ht="15" hidden="false" customHeight="false" outlineLevel="0" collapsed="false">
      <c r="A178" s="6" t="s">
        <v>739</v>
      </c>
      <c r="B178" s="6" t="n">
        <v>0</v>
      </c>
      <c r="C178" s="6" t="n">
        <v>4</v>
      </c>
      <c r="D178" s="7" t="n">
        <v>0</v>
      </c>
      <c r="E178" s="8" t="n">
        <v>12</v>
      </c>
      <c r="F178" s="6" t="s">
        <v>561</v>
      </c>
    </row>
    <row r="179" customFormat="false" ht="15" hidden="false" customHeight="false" outlineLevel="0" collapsed="false">
      <c r="A179" s="6" t="s">
        <v>740</v>
      </c>
      <c r="B179" s="6" t="n">
        <v>0</v>
      </c>
      <c r="C179" s="6" t="n">
        <v>4</v>
      </c>
      <c r="D179" s="7" t="n">
        <v>0</v>
      </c>
      <c r="E179" s="8" t="n">
        <v>25.75</v>
      </c>
      <c r="F179" s="6" t="s">
        <v>569</v>
      </c>
    </row>
    <row r="180" customFormat="false" ht="15" hidden="false" customHeight="false" outlineLevel="0" collapsed="false">
      <c r="A180" s="6" t="s">
        <v>741</v>
      </c>
      <c r="B180" s="6" t="n">
        <v>0</v>
      </c>
      <c r="C180" s="6" t="n">
        <v>3</v>
      </c>
      <c r="D180" s="7" t="n">
        <v>0</v>
      </c>
      <c r="E180" s="8" t="n">
        <v>7</v>
      </c>
      <c r="F180" s="6" t="s">
        <v>561</v>
      </c>
    </row>
    <row r="181" customFormat="false" ht="15" hidden="false" customHeight="false" outlineLevel="0" collapsed="false">
      <c r="A181" s="6" t="s">
        <v>742</v>
      </c>
      <c r="B181" s="6" t="n">
        <v>0</v>
      </c>
      <c r="C181" s="6" t="n">
        <v>3</v>
      </c>
      <c r="D181" s="7" t="n">
        <v>0</v>
      </c>
      <c r="E181" s="8" t="n">
        <v>7</v>
      </c>
      <c r="F181" s="6" t="s">
        <v>561</v>
      </c>
    </row>
    <row r="182" customFormat="false" ht="15" hidden="false" customHeight="false" outlineLevel="0" collapsed="false">
      <c r="A182" s="6" t="s">
        <v>743</v>
      </c>
      <c r="B182" s="6" t="n">
        <v>0</v>
      </c>
      <c r="C182" s="6" t="n">
        <v>3</v>
      </c>
      <c r="D182" s="7" t="n">
        <v>0</v>
      </c>
      <c r="E182" s="8" t="n">
        <v>8</v>
      </c>
      <c r="F182" s="6" t="s">
        <v>561</v>
      </c>
    </row>
    <row r="183" customFormat="false" ht="15" hidden="false" customHeight="false" outlineLevel="0" collapsed="false">
      <c r="A183" s="6" t="s">
        <v>744</v>
      </c>
      <c r="B183" s="6" t="n">
        <v>0</v>
      </c>
      <c r="C183" s="6" t="n">
        <v>3</v>
      </c>
      <c r="D183" s="7" t="n">
        <v>0</v>
      </c>
      <c r="E183" s="8" t="n">
        <v>14</v>
      </c>
      <c r="F183" s="6" t="s">
        <v>561</v>
      </c>
    </row>
    <row r="184" customFormat="false" ht="15" hidden="false" customHeight="false" outlineLevel="0" collapsed="false">
      <c r="A184" s="6" t="s">
        <v>745</v>
      </c>
      <c r="B184" s="6" t="n">
        <v>0</v>
      </c>
      <c r="C184" s="6" t="n">
        <v>3</v>
      </c>
      <c r="D184" s="7" t="n">
        <v>0</v>
      </c>
      <c r="E184" s="8" t="n">
        <v>66</v>
      </c>
      <c r="F184" s="6" t="s">
        <v>569</v>
      </c>
    </row>
    <row r="185" customFormat="false" ht="15" hidden="false" customHeight="false" outlineLevel="0" collapsed="false">
      <c r="A185" s="6" t="s">
        <v>746</v>
      </c>
      <c r="B185" s="6" t="n">
        <v>0</v>
      </c>
      <c r="C185" s="6" t="n">
        <v>2</v>
      </c>
      <c r="D185" s="7" t="n">
        <v>0</v>
      </c>
      <c r="E185" s="8" t="n">
        <v>3</v>
      </c>
      <c r="F185" s="6" t="s">
        <v>561</v>
      </c>
    </row>
    <row r="186" customFormat="false" ht="15" hidden="false" customHeight="false" outlineLevel="0" collapsed="false">
      <c r="A186" s="6" t="s">
        <v>747</v>
      </c>
      <c r="B186" s="6" t="n">
        <v>0</v>
      </c>
      <c r="C186" s="6" t="n">
        <v>2</v>
      </c>
      <c r="D186" s="7" t="n">
        <v>0</v>
      </c>
      <c r="E186" s="8" t="n">
        <v>3.5</v>
      </c>
      <c r="F186" s="6" t="s">
        <v>561</v>
      </c>
    </row>
    <row r="187" customFormat="false" ht="15" hidden="false" customHeight="false" outlineLevel="0" collapsed="false">
      <c r="A187" s="6" t="s">
        <v>748</v>
      </c>
      <c r="B187" s="6" t="n">
        <v>0</v>
      </c>
      <c r="C187" s="6" t="n">
        <v>2</v>
      </c>
      <c r="D187" s="7" t="n">
        <v>0</v>
      </c>
      <c r="E187" s="8" t="n">
        <v>6</v>
      </c>
      <c r="F187" s="6" t="s">
        <v>561</v>
      </c>
    </row>
    <row r="188" customFormat="false" ht="15" hidden="false" customHeight="false" outlineLevel="0" collapsed="false">
      <c r="A188" s="6" t="s">
        <v>749</v>
      </c>
      <c r="B188" s="6" t="n">
        <v>0</v>
      </c>
      <c r="C188" s="6" t="n">
        <v>2</v>
      </c>
      <c r="D188" s="7" t="n">
        <v>0</v>
      </c>
      <c r="E188" s="8" t="n">
        <v>7</v>
      </c>
      <c r="F188" s="6" t="s">
        <v>569</v>
      </c>
    </row>
    <row r="189" customFormat="false" ht="15" hidden="false" customHeight="false" outlineLevel="0" collapsed="false">
      <c r="A189" s="6" t="s">
        <v>750</v>
      </c>
      <c r="B189" s="6" t="n">
        <v>0</v>
      </c>
      <c r="C189" s="6" t="n">
        <v>2</v>
      </c>
      <c r="D189" s="7" t="n">
        <v>0</v>
      </c>
      <c r="E189" s="8" t="n">
        <v>9.5</v>
      </c>
      <c r="F189" s="6" t="s">
        <v>569</v>
      </c>
    </row>
    <row r="190" customFormat="false" ht="15" hidden="false" customHeight="false" outlineLevel="0" collapsed="false">
      <c r="A190" s="6" t="s">
        <v>751</v>
      </c>
      <c r="B190" s="6" t="n">
        <v>0</v>
      </c>
      <c r="C190" s="6" t="n">
        <v>2</v>
      </c>
      <c r="D190" s="7" t="n">
        <v>0</v>
      </c>
      <c r="E190" s="8" t="n">
        <v>46</v>
      </c>
      <c r="F190" s="6" t="s">
        <v>561</v>
      </c>
    </row>
    <row r="191" customFormat="false" ht="15" hidden="false" customHeight="false" outlineLevel="0" collapsed="false">
      <c r="A191" s="6" t="s">
        <v>752</v>
      </c>
      <c r="B191" s="6" t="n">
        <v>0</v>
      </c>
      <c r="C191" s="6" t="n">
        <v>1</v>
      </c>
      <c r="D191" s="7" t="n">
        <v>0</v>
      </c>
      <c r="E191" s="8" t="n">
        <v>1</v>
      </c>
      <c r="F191" s="6" t="s">
        <v>561</v>
      </c>
    </row>
    <row r="192" customFormat="false" ht="15" hidden="false" customHeight="false" outlineLevel="0" collapsed="false">
      <c r="A192" s="6" t="s">
        <v>753</v>
      </c>
      <c r="B192" s="6" t="n">
        <v>0</v>
      </c>
      <c r="C192" s="6" t="n">
        <v>1</v>
      </c>
      <c r="D192" s="7" t="n">
        <v>0</v>
      </c>
      <c r="E192" s="8" t="n">
        <v>1</v>
      </c>
      <c r="F192" s="6" t="s">
        <v>78</v>
      </c>
    </row>
    <row r="193" customFormat="false" ht="15" hidden="false" customHeight="false" outlineLevel="0" collapsed="false">
      <c r="A193" s="6" t="s">
        <v>754</v>
      </c>
      <c r="B193" s="6" t="n">
        <v>0</v>
      </c>
      <c r="C193" s="6" t="n">
        <v>1</v>
      </c>
      <c r="D193" s="7" t="n">
        <v>0</v>
      </c>
      <c r="E193" s="8" t="n">
        <v>4</v>
      </c>
      <c r="F193" s="6" t="s">
        <v>561</v>
      </c>
    </row>
    <row r="194" customFormat="false" ht="15" hidden="false" customHeight="false" outlineLevel="0" collapsed="false">
      <c r="A194" s="6" t="s">
        <v>755</v>
      </c>
      <c r="B194" s="6" t="n">
        <v>0</v>
      </c>
      <c r="C194" s="6" t="n">
        <v>1</v>
      </c>
      <c r="D194" s="7" t="n">
        <v>0</v>
      </c>
      <c r="E194" s="8" t="n">
        <v>4</v>
      </c>
      <c r="F194" s="6" t="s">
        <v>561</v>
      </c>
    </row>
    <row r="195" customFormat="false" ht="15" hidden="false" customHeight="false" outlineLevel="0" collapsed="false">
      <c r="A195" s="6" t="s">
        <v>756</v>
      </c>
      <c r="B195" s="6" t="n">
        <v>0</v>
      </c>
      <c r="C195" s="6" t="n">
        <v>1</v>
      </c>
      <c r="D195" s="7" t="n">
        <v>0</v>
      </c>
      <c r="E195" s="8" t="n">
        <v>6</v>
      </c>
      <c r="F195" s="6" t="s">
        <v>561</v>
      </c>
    </row>
    <row r="196" customFormat="false" ht="15" hidden="false" customHeight="false" outlineLevel="0" collapsed="false">
      <c r="A196" s="6" t="s">
        <v>757</v>
      </c>
      <c r="B196" s="6" t="n">
        <v>0</v>
      </c>
      <c r="C196" s="6" t="n">
        <v>1</v>
      </c>
      <c r="D196" s="7" t="n">
        <v>0</v>
      </c>
      <c r="E196" s="8" t="n">
        <v>7</v>
      </c>
      <c r="F196" s="6" t="s">
        <v>561</v>
      </c>
    </row>
    <row r="197" customFormat="false" ht="15" hidden="false" customHeight="false" outlineLevel="0" collapsed="false">
      <c r="A197" s="6" t="s">
        <v>758</v>
      </c>
      <c r="B197" s="6" t="n">
        <v>0</v>
      </c>
      <c r="C197" s="6" t="n">
        <v>1</v>
      </c>
      <c r="D197" s="7" t="n">
        <v>0</v>
      </c>
      <c r="E197" s="8" t="n">
        <v>9</v>
      </c>
      <c r="F197" s="6" t="s">
        <v>561</v>
      </c>
    </row>
    <row r="198" customFormat="false" ht="15" hidden="false" customHeight="false" outlineLevel="0" collapsed="false">
      <c r="A198" s="6" t="s">
        <v>759</v>
      </c>
      <c r="B198" s="6" t="n">
        <v>0</v>
      </c>
      <c r="C198" s="6" t="n">
        <v>1</v>
      </c>
      <c r="D198" s="7" t="n">
        <v>0</v>
      </c>
      <c r="E198" s="8" t="n">
        <v>10</v>
      </c>
      <c r="F198" s="6" t="s">
        <v>561</v>
      </c>
    </row>
    <row r="199" customFormat="false" ht="15" hidden="false" customHeight="false" outlineLevel="0" collapsed="false">
      <c r="A199" s="6" t="s">
        <v>760</v>
      </c>
      <c r="B199" s="6" t="n">
        <v>0</v>
      </c>
      <c r="C199" s="6" t="n">
        <v>1</v>
      </c>
      <c r="D199" s="7" t="n">
        <v>0</v>
      </c>
      <c r="E199" s="8" t="n">
        <v>12</v>
      </c>
      <c r="F199" s="6" t="s">
        <v>561</v>
      </c>
    </row>
    <row r="200" customFormat="false" ht="15" hidden="false" customHeight="false" outlineLevel="0" collapsed="false">
      <c r="A200" s="6" t="s">
        <v>761</v>
      </c>
      <c r="B200" s="6" t="n">
        <v>0</v>
      </c>
      <c r="C200" s="6" t="n">
        <v>1</v>
      </c>
      <c r="D200" s="7" t="n">
        <v>0</v>
      </c>
      <c r="E200" s="8" t="n">
        <v>12</v>
      </c>
      <c r="F200" s="6" t="s">
        <v>561</v>
      </c>
    </row>
    <row r="201" customFormat="false" ht="15" hidden="false" customHeight="false" outlineLevel="0" collapsed="false">
      <c r="A201" s="6" t="s">
        <v>762</v>
      </c>
      <c r="B201" s="6" t="n">
        <v>0</v>
      </c>
      <c r="C201" s="6" t="n">
        <v>1</v>
      </c>
      <c r="D201" s="7" t="n">
        <v>0</v>
      </c>
      <c r="E201" s="8" t="n">
        <v>31</v>
      </c>
      <c r="F201" s="6" t="s">
        <v>569</v>
      </c>
    </row>
    <row r="202" customFormat="false" ht="15" hidden="false" customHeight="false" outlineLevel="0" collapsed="false">
      <c r="A202" s="6" t="s">
        <v>763</v>
      </c>
      <c r="B202" s="6" t="n">
        <v>0</v>
      </c>
      <c r="C202" s="6" t="n">
        <v>1</v>
      </c>
      <c r="D202" s="7" t="n">
        <v>0</v>
      </c>
      <c r="E202" s="8" t="n">
        <v>79</v>
      </c>
      <c r="F202" s="6" t="s">
        <v>569</v>
      </c>
    </row>
  </sheetData>
  <autoFilter ref="A1:F2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9"/>
  </cols>
  <sheetData>
    <row r="1" customFormat="false" ht="26.85" hidden="false" customHeight="false" outlineLevel="0" collapsed="false">
      <c r="A1" s="4" t="s">
        <v>38</v>
      </c>
      <c r="B1" s="4" t="s">
        <v>764</v>
      </c>
      <c r="C1" s="4" t="s">
        <v>34</v>
      </c>
      <c r="D1" s="4" t="s">
        <v>35</v>
      </c>
      <c r="E1" s="4" t="s">
        <v>36</v>
      </c>
    </row>
    <row r="2" customFormat="false" ht="15" hidden="false" customHeight="false" outlineLevel="0" collapsed="false">
      <c r="A2" s="6" t="s">
        <v>90</v>
      </c>
      <c r="B2" s="6" t="n">
        <v>58</v>
      </c>
      <c r="C2" s="6" t="n">
        <v>21</v>
      </c>
      <c r="D2" s="6" t="n">
        <v>33362</v>
      </c>
      <c r="E2" s="9" t="n">
        <f aca="false">IF(D2=0,0,C2/D2)</f>
        <v>0.000629458665547629</v>
      </c>
    </row>
    <row r="3" customFormat="false" ht="15" hidden="false" customHeight="false" outlineLevel="0" collapsed="false">
      <c r="A3" s="6" t="s">
        <v>48</v>
      </c>
      <c r="B3" s="6" t="n">
        <v>85</v>
      </c>
      <c r="C3" s="6" t="n">
        <v>145</v>
      </c>
      <c r="D3" s="6" t="n">
        <v>23245</v>
      </c>
      <c r="E3" s="9" t="n">
        <f aca="false">IF(D3=0,0,C3/D3)</f>
        <v>0.00623790062379006</v>
      </c>
    </row>
    <row r="4" customFormat="false" ht="15" hidden="false" customHeight="false" outlineLevel="0" collapsed="false">
      <c r="A4" s="6" t="s">
        <v>43</v>
      </c>
      <c r="B4" s="6" t="n">
        <v>31</v>
      </c>
      <c r="C4" s="6" t="n">
        <v>688</v>
      </c>
      <c r="D4" s="6" t="n">
        <v>5163</v>
      </c>
      <c r="E4" s="9" t="n">
        <f aca="false">IF(D4=0,0,C4/D4)</f>
        <v>0.133255858996707</v>
      </c>
    </row>
    <row r="5" customFormat="false" ht="15" hidden="false" customHeight="false" outlineLevel="0" collapsed="false">
      <c r="A5" s="6" t="s">
        <v>56</v>
      </c>
      <c r="B5" s="6" t="n">
        <v>35</v>
      </c>
      <c r="C5" s="6" t="n">
        <v>57</v>
      </c>
      <c r="D5" s="6" t="n">
        <v>3757</v>
      </c>
      <c r="E5" s="9" t="n">
        <f aca="false">IF(D5=0,0,C5/D5)</f>
        <v>0.0151716795315411</v>
      </c>
    </row>
    <row r="6" customFormat="false" ht="15" hidden="false" customHeight="false" outlineLevel="0" collapsed="false">
      <c r="A6" s="6" t="s">
        <v>58</v>
      </c>
      <c r="B6" s="6" t="n">
        <v>31</v>
      </c>
      <c r="C6" s="6" t="n">
        <v>38</v>
      </c>
      <c r="D6" s="6" t="n">
        <v>3567</v>
      </c>
      <c r="E6" s="9" t="n">
        <f aca="false">IF(D6=0,0,C6/D6)</f>
        <v>0.0106532099803757</v>
      </c>
    </row>
    <row r="7" customFormat="false" ht="15" hidden="false" customHeight="false" outlineLevel="0" collapsed="false">
      <c r="A7" s="6" t="s">
        <v>68</v>
      </c>
      <c r="B7" s="6" t="n">
        <v>35</v>
      </c>
      <c r="C7" s="6" t="n">
        <v>51</v>
      </c>
      <c r="D7" s="6" t="n">
        <v>2977</v>
      </c>
      <c r="E7" s="9" t="n">
        <f aca="false">IF(D7=0,0,C7/D7)</f>
        <v>0.0171313402754451</v>
      </c>
    </row>
    <row r="8" customFormat="false" ht="15" hidden="false" customHeight="false" outlineLevel="0" collapsed="false">
      <c r="A8" s="6" t="s">
        <v>78</v>
      </c>
      <c r="B8" s="6" t="n">
        <v>93</v>
      </c>
      <c r="C8" s="6" t="n">
        <v>105</v>
      </c>
      <c r="D8" s="6" t="n">
        <v>2595</v>
      </c>
      <c r="E8" s="9" t="n">
        <f aca="false">IF(D8=0,0,C8/D8)</f>
        <v>0.0404624277456647</v>
      </c>
    </row>
    <row r="9" customFormat="false" ht="15" hidden="false" customHeight="false" outlineLevel="0" collapsed="false">
      <c r="A9" s="6" t="s">
        <v>99</v>
      </c>
      <c r="B9" s="6" t="n">
        <v>17</v>
      </c>
      <c r="C9" s="6" t="n">
        <v>27</v>
      </c>
      <c r="D9" s="6" t="n">
        <v>1536</v>
      </c>
      <c r="E9" s="9" t="n">
        <f aca="false">IF(D9=0,0,C9/D9)</f>
        <v>0.017578125</v>
      </c>
    </row>
    <row r="10" customFormat="false" ht="15" hidden="false" customHeight="false" outlineLevel="0" collapsed="false">
      <c r="A10" s="6" t="s">
        <v>54</v>
      </c>
      <c r="B10" s="6" t="n">
        <v>34</v>
      </c>
      <c r="C10" s="6" t="n">
        <v>64</v>
      </c>
      <c r="D10" s="6" t="n">
        <v>806</v>
      </c>
      <c r="E10" s="9" t="n">
        <f aca="false">IF(D10=0,0,C10/D10)</f>
        <v>0.0794044665012407</v>
      </c>
    </row>
    <row r="11" customFormat="false" ht="15" hidden="false" customHeight="false" outlineLevel="0" collapsed="false">
      <c r="A11" s="6" t="s">
        <v>63</v>
      </c>
      <c r="B11" s="6" t="n">
        <v>20</v>
      </c>
      <c r="C11" s="6" t="n">
        <v>37</v>
      </c>
      <c r="D11" s="6" t="n">
        <v>769</v>
      </c>
      <c r="E11" s="9" t="n">
        <f aca="false">IF(D11=0,0,C11/D11)</f>
        <v>0.0481144343302991</v>
      </c>
    </row>
    <row r="12" customFormat="false" ht="15" hidden="false" customHeight="false" outlineLevel="0" collapsed="false">
      <c r="A12" s="6" t="s">
        <v>198</v>
      </c>
      <c r="B12" s="6" t="n">
        <v>5</v>
      </c>
      <c r="C12" s="6" t="n">
        <v>2</v>
      </c>
      <c r="D12" s="6" t="n">
        <v>762</v>
      </c>
      <c r="E12" s="9" t="n">
        <f aca="false">IF(D12=0,0,C12/D12)</f>
        <v>0.0026246719160105</v>
      </c>
    </row>
    <row r="13" customFormat="false" ht="15" hidden="false" customHeight="false" outlineLevel="0" collapsed="false">
      <c r="A13" s="6" t="s">
        <v>88</v>
      </c>
      <c r="B13" s="6" t="n">
        <v>17</v>
      </c>
      <c r="C13" s="6" t="n">
        <v>27</v>
      </c>
      <c r="D13" s="6" t="n">
        <v>752</v>
      </c>
      <c r="E13" s="9" t="n">
        <f aca="false">IF(D13=0,0,C13/D13)</f>
        <v>0.0359042553191489</v>
      </c>
    </row>
    <row r="14" customFormat="false" ht="15" hidden="false" customHeight="false" outlineLevel="0" collapsed="false">
      <c r="A14" s="6" t="s">
        <v>95</v>
      </c>
      <c r="B14" s="6" t="n">
        <v>4</v>
      </c>
      <c r="C14" s="6" t="n">
        <v>8</v>
      </c>
      <c r="D14" s="6" t="n">
        <v>529</v>
      </c>
      <c r="E14" s="9" t="n">
        <f aca="false">IF(D14=0,0,C14/D14)</f>
        <v>0.0151228733459357</v>
      </c>
    </row>
    <row r="15" customFormat="false" ht="15" hidden="false" customHeight="false" outlineLevel="0" collapsed="false">
      <c r="A15" s="6" t="s">
        <v>490</v>
      </c>
      <c r="B15" s="6" t="n">
        <v>2</v>
      </c>
      <c r="C15" s="6" t="n">
        <v>0</v>
      </c>
      <c r="D15" s="6" t="n">
        <v>344</v>
      </c>
      <c r="E15" s="9" t="n">
        <f aca="false">IF(D15=0,0,C15/D15)</f>
        <v>0</v>
      </c>
    </row>
    <row r="16" customFormat="false" ht="15" hidden="false" customHeight="false" outlineLevel="0" collapsed="false">
      <c r="A16" s="6" t="s">
        <v>61</v>
      </c>
      <c r="B16" s="6" t="n">
        <v>9</v>
      </c>
      <c r="C16" s="6" t="n">
        <v>32</v>
      </c>
      <c r="D16" s="6" t="n">
        <v>335</v>
      </c>
      <c r="E16" s="9" t="n">
        <f aca="false">IF(D16=0,0,C16/D16)</f>
        <v>0.0955223880597015</v>
      </c>
    </row>
    <row r="17" customFormat="false" ht="15" hidden="false" customHeight="false" outlineLevel="0" collapsed="false">
      <c r="A17" s="6" t="s">
        <v>162</v>
      </c>
      <c r="B17" s="6" t="n">
        <v>4</v>
      </c>
      <c r="C17" s="6" t="n">
        <v>4</v>
      </c>
      <c r="D17" s="6" t="n">
        <v>205</v>
      </c>
      <c r="E17" s="9" t="n">
        <f aca="false">IF(D17=0,0,C17/D17)</f>
        <v>0.0195121951219512</v>
      </c>
    </row>
    <row r="18" customFormat="false" ht="15" hidden="false" customHeight="false" outlineLevel="0" collapsed="false">
      <c r="A18" s="6" t="s">
        <v>71</v>
      </c>
      <c r="B18" s="6" t="n">
        <v>6</v>
      </c>
      <c r="C18" s="6" t="n">
        <v>16</v>
      </c>
      <c r="D18" s="6" t="n">
        <v>137</v>
      </c>
      <c r="E18" s="9" t="n">
        <f aca="false">IF(D18=0,0,C18/D18)</f>
        <v>0.116788321167883</v>
      </c>
    </row>
    <row r="19" customFormat="false" ht="15" hidden="false" customHeight="false" outlineLevel="0" collapsed="false">
      <c r="A19" s="6" t="s">
        <v>65</v>
      </c>
      <c r="B19" s="6" t="n">
        <v>12</v>
      </c>
      <c r="C19" s="6" t="n">
        <v>24</v>
      </c>
      <c r="D19" s="6" t="n">
        <v>119</v>
      </c>
      <c r="E19" s="9" t="n">
        <f aca="false">IF(D19=0,0,C19/D19)</f>
        <v>0.201680672268908</v>
      </c>
    </row>
    <row r="20" customFormat="false" ht="15" hidden="false" customHeight="false" outlineLevel="0" collapsed="false">
      <c r="A20" s="10" t="s">
        <v>765</v>
      </c>
      <c r="B20" s="10" t="n">
        <f aca="false">SUM(B2:B19)</f>
        <v>498</v>
      </c>
      <c r="C20" s="10" t="n">
        <f aca="false">SUM(C2:C19)</f>
        <v>1346</v>
      </c>
      <c r="D20" s="10" t="n">
        <f aca="false">SUM(D2:D19)</f>
        <v>80960</v>
      </c>
      <c r="E20" s="11" t="n">
        <f aca="false">IF(D20=0,0,C20/D20)</f>
        <v>0.0166254940711462</v>
      </c>
    </row>
  </sheetData>
  <autoFilter ref="A1:E1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8" min="7" style="0" width="50"/>
  </cols>
  <sheetData>
    <row r="1" customFormat="false" ht="26.85" hidden="false" customHeight="false" outlineLevel="0" collapsed="false">
      <c r="A1" s="4" t="s">
        <v>33</v>
      </c>
      <c r="B1" s="4" t="s">
        <v>34</v>
      </c>
      <c r="C1" s="4" t="s">
        <v>35</v>
      </c>
      <c r="D1" s="4" t="s">
        <v>36</v>
      </c>
      <c r="E1" s="4" t="s">
        <v>37</v>
      </c>
      <c r="F1" s="4" t="s">
        <v>38</v>
      </c>
      <c r="G1" s="4" t="s">
        <v>766</v>
      </c>
      <c r="H1" s="4" t="s">
        <v>767</v>
      </c>
    </row>
    <row r="2" customFormat="false" ht="39.55" hidden="false" customHeight="false" outlineLevel="0" collapsed="false">
      <c r="A2" s="2" t="s">
        <v>422</v>
      </c>
      <c r="B2" s="2" t="n">
        <v>0</v>
      </c>
      <c r="C2" s="2" t="n">
        <v>6111</v>
      </c>
      <c r="D2" s="12" t="n">
        <v>0</v>
      </c>
      <c r="E2" s="13" t="n">
        <v>4.89</v>
      </c>
      <c r="F2" s="2" t="s">
        <v>90</v>
      </c>
      <c r="G2" s="2" t="s">
        <v>570</v>
      </c>
      <c r="H2" s="2" t="s">
        <v>768</v>
      </c>
    </row>
    <row r="3" customFormat="false" ht="39.55" hidden="false" customHeight="false" outlineLevel="0" collapsed="false">
      <c r="A3" s="2" t="s">
        <v>89</v>
      </c>
      <c r="B3" s="2" t="n">
        <v>4</v>
      </c>
      <c r="C3" s="2" t="n">
        <v>4184</v>
      </c>
      <c r="D3" s="12" t="n">
        <v>0.001</v>
      </c>
      <c r="E3" s="13" t="n">
        <v>5.27</v>
      </c>
      <c r="F3" s="2" t="s">
        <v>90</v>
      </c>
      <c r="G3" s="2" t="s">
        <v>570</v>
      </c>
      <c r="H3" s="2" t="s">
        <v>768</v>
      </c>
    </row>
    <row r="4" customFormat="false" ht="39.55" hidden="false" customHeight="false" outlineLevel="0" collapsed="false">
      <c r="A4" s="2" t="s">
        <v>167</v>
      </c>
      <c r="B4" s="2" t="n">
        <v>1</v>
      </c>
      <c r="C4" s="2" t="n">
        <v>2183</v>
      </c>
      <c r="D4" s="12" t="n">
        <v>0.0005</v>
      </c>
      <c r="E4" s="13" t="n">
        <v>4.09</v>
      </c>
      <c r="F4" s="2" t="s">
        <v>90</v>
      </c>
      <c r="G4" s="2" t="s">
        <v>570</v>
      </c>
      <c r="H4" s="2" t="s">
        <v>768</v>
      </c>
    </row>
    <row r="5" customFormat="false" ht="39.55" hidden="false" customHeight="false" outlineLevel="0" collapsed="false">
      <c r="A5" s="2" t="s">
        <v>168</v>
      </c>
      <c r="B5" s="2" t="n">
        <v>1</v>
      </c>
      <c r="C5" s="2" t="n">
        <v>1486</v>
      </c>
      <c r="D5" s="12" t="n">
        <v>0.0007</v>
      </c>
      <c r="E5" s="13" t="n">
        <v>3.66</v>
      </c>
      <c r="F5" s="2" t="s">
        <v>90</v>
      </c>
      <c r="G5" s="2" t="s">
        <v>570</v>
      </c>
      <c r="H5" s="2" t="s">
        <v>768</v>
      </c>
    </row>
    <row r="6" customFormat="false" ht="39.55" hidden="false" customHeight="false" outlineLevel="0" collapsed="false">
      <c r="A6" s="2" t="s">
        <v>75</v>
      </c>
      <c r="B6" s="2" t="n">
        <v>7</v>
      </c>
      <c r="C6" s="2" t="n">
        <v>4798</v>
      </c>
      <c r="D6" s="12" t="n">
        <v>0.0015</v>
      </c>
      <c r="E6" s="13" t="n">
        <v>12.31</v>
      </c>
      <c r="F6" s="2" t="s">
        <v>48</v>
      </c>
      <c r="G6" s="2" t="s">
        <v>562</v>
      </c>
      <c r="H6" s="2" t="s">
        <v>769</v>
      </c>
    </row>
    <row r="7" customFormat="false" ht="26.85" hidden="false" customHeight="false" outlineLevel="0" collapsed="false">
      <c r="A7" s="2" t="s">
        <v>105</v>
      </c>
      <c r="B7" s="2" t="n">
        <v>3</v>
      </c>
      <c r="C7" s="2" t="n">
        <v>1122</v>
      </c>
      <c r="D7" s="12" t="n">
        <v>0.0027</v>
      </c>
      <c r="E7" s="13" t="n">
        <v>3.05</v>
      </c>
      <c r="F7" s="2" t="s">
        <v>99</v>
      </c>
      <c r="G7" s="2" t="s">
        <v>576</v>
      </c>
      <c r="H7" s="2" t="s">
        <v>770</v>
      </c>
    </row>
    <row r="8" customFormat="false" ht="39.55" hidden="false" customHeight="false" outlineLevel="0" collapsed="false">
      <c r="A8" s="2" t="s">
        <v>424</v>
      </c>
      <c r="B8" s="2" t="n">
        <v>0</v>
      </c>
      <c r="C8" s="2" t="n">
        <v>1584</v>
      </c>
      <c r="D8" s="12" t="n">
        <v>0</v>
      </c>
      <c r="E8" s="13" t="n">
        <v>4.97</v>
      </c>
      <c r="F8" s="2" t="s">
        <v>90</v>
      </c>
      <c r="G8" s="2" t="s">
        <v>570</v>
      </c>
      <c r="H8" s="2" t="s">
        <v>768</v>
      </c>
    </row>
    <row r="9" customFormat="false" ht="39.55" hidden="false" customHeight="false" outlineLevel="0" collapsed="false">
      <c r="A9" s="2" t="s">
        <v>169</v>
      </c>
      <c r="B9" s="2" t="n">
        <v>1</v>
      </c>
      <c r="C9" s="2" t="n">
        <v>1204</v>
      </c>
      <c r="D9" s="12" t="n">
        <v>0.0008</v>
      </c>
      <c r="E9" s="13" t="n">
        <v>3.88</v>
      </c>
      <c r="F9" s="2" t="s">
        <v>90</v>
      </c>
      <c r="G9" s="2" t="s">
        <v>570</v>
      </c>
      <c r="H9" s="2" t="s">
        <v>768</v>
      </c>
    </row>
    <row r="10" customFormat="false" ht="39.55" hidden="false" customHeight="false" outlineLevel="0" collapsed="false">
      <c r="A10" s="2" t="s">
        <v>423</v>
      </c>
      <c r="B10" s="2" t="n">
        <v>0</v>
      </c>
      <c r="C10" s="2" t="n">
        <v>1904</v>
      </c>
      <c r="D10" s="12" t="n">
        <v>0</v>
      </c>
      <c r="E10" s="13" t="n">
        <v>7.55</v>
      </c>
      <c r="F10" s="2" t="s">
        <v>90</v>
      </c>
      <c r="G10" s="2" t="s">
        <v>570</v>
      </c>
      <c r="H10" s="2" t="s">
        <v>768</v>
      </c>
    </row>
    <row r="11" customFormat="false" ht="39.55" hidden="false" customHeight="false" outlineLevel="0" collapsed="false">
      <c r="A11" s="2" t="s">
        <v>47</v>
      </c>
      <c r="B11" s="2" t="n">
        <v>30</v>
      </c>
      <c r="C11" s="2" t="n">
        <v>1398</v>
      </c>
      <c r="D11" s="12" t="n">
        <v>0.0215</v>
      </c>
      <c r="E11" s="13" t="n">
        <v>5.48</v>
      </c>
      <c r="F11" s="2" t="s">
        <v>48</v>
      </c>
      <c r="G11" s="2" t="s">
        <v>562</v>
      </c>
      <c r="H11" s="2" t="s">
        <v>769</v>
      </c>
    </row>
    <row r="12" customFormat="false" ht="39.55" hidden="false" customHeight="false" outlineLevel="0" collapsed="false">
      <c r="A12" s="2" t="s">
        <v>425</v>
      </c>
      <c r="B12" s="2" t="n">
        <v>0</v>
      </c>
      <c r="C12" s="2" t="n">
        <v>1122</v>
      </c>
      <c r="D12" s="12" t="n">
        <v>0</v>
      </c>
      <c r="E12" s="13" t="n">
        <v>6.16</v>
      </c>
      <c r="F12" s="2" t="s">
        <v>90</v>
      </c>
      <c r="G12" s="2" t="s">
        <v>570</v>
      </c>
      <c r="H12" s="2" t="s">
        <v>768</v>
      </c>
    </row>
    <row r="13" customFormat="false" ht="39.55" hidden="false" customHeight="false" outlineLevel="0" collapsed="false">
      <c r="A13" s="2" t="s">
        <v>428</v>
      </c>
      <c r="B13" s="2" t="n">
        <v>0</v>
      </c>
      <c r="C13" s="2" t="n">
        <v>699</v>
      </c>
      <c r="D13" s="12" t="n">
        <v>0</v>
      </c>
      <c r="E13" s="13" t="n">
        <v>3.95</v>
      </c>
      <c r="F13" s="2" t="s">
        <v>90</v>
      </c>
      <c r="G13" s="2" t="s">
        <v>570</v>
      </c>
      <c r="H13" s="2" t="s">
        <v>768</v>
      </c>
    </row>
    <row r="14" customFormat="false" ht="39.55" hidden="false" customHeight="false" outlineLevel="0" collapsed="false">
      <c r="A14" s="2" t="s">
        <v>66</v>
      </c>
      <c r="B14" s="2" t="n">
        <v>10</v>
      </c>
      <c r="C14" s="2" t="n">
        <v>1253</v>
      </c>
      <c r="D14" s="12" t="n">
        <v>0.008</v>
      </c>
      <c r="E14" s="13" t="n">
        <v>9.52</v>
      </c>
      <c r="F14" s="2" t="s">
        <v>48</v>
      </c>
      <c r="G14" s="2" t="s">
        <v>562</v>
      </c>
      <c r="H14" s="2" t="s">
        <v>769</v>
      </c>
    </row>
    <row r="15" customFormat="false" ht="39.55" hidden="false" customHeight="false" outlineLevel="0" collapsed="false">
      <c r="A15" s="2" t="s">
        <v>439</v>
      </c>
      <c r="B15" s="2" t="n">
        <v>0</v>
      </c>
      <c r="C15" s="2" t="n">
        <v>388</v>
      </c>
      <c r="D15" s="12" t="n">
        <v>0</v>
      </c>
      <c r="E15" s="13" t="n">
        <v>3.03</v>
      </c>
      <c r="F15" s="2" t="s">
        <v>90</v>
      </c>
      <c r="G15" s="2" t="s">
        <v>570</v>
      </c>
      <c r="H15" s="2" t="s">
        <v>768</v>
      </c>
    </row>
    <row r="16" customFormat="false" ht="39.55" hidden="false" customHeight="false" outlineLevel="0" collapsed="false">
      <c r="A16" s="2" t="s">
        <v>440</v>
      </c>
      <c r="B16" s="2" t="n">
        <v>0</v>
      </c>
      <c r="C16" s="2" t="n">
        <v>382</v>
      </c>
      <c r="D16" s="12" t="n">
        <v>0</v>
      </c>
      <c r="E16" s="13" t="n">
        <v>3.07</v>
      </c>
      <c r="F16" s="2" t="s">
        <v>48</v>
      </c>
      <c r="G16" s="2" t="s">
        <v>562</v>
      </c>
      <c r="H16" s="2" t="s">
        <v>769</v>
      </c>
    </row>
    <row r="17" customFormat="false" ht="39.55" hidden="false" customHeight="false" outlineLevel="0" collapsed="false">
      <c r="A17" s="2" t="s">
        <v>430</v>
      </c>
      <c r="B17" s="2" t="n">
        <v>0</v>
      </c>
      <c r="C17" s="2" t="n">
        <v>520</v>
      </c>
      <c r="D17" s="12" t="n">
        <v>0</v>
      </c>
      <c r="E17" s="13" t="n">
        <v>4.22</v>
      </c>
      <c r="F17" s="2" t="s">
        <v>90</v>
      </c>
      <c r="G17" s="2" t="s">
        <v>570</v>
      </c>
      <c r="H17" s="2" t="s">
        <v>768</v>
      </c>
    </row>
    <row r="18" customFormat="false" ht="39.55" hidden="false" customHeight="false" outlineLevel="0" collapsed="false">
      <c r="A18" s="2" t="s">
        <v>435</v>
      </c>
      <c r="B18" s="2" t="n">
        <v>0</v>
      </c>
      <c r="C18" s="2" t="n">
        <v>416</v>
      </c>
      <c r="D18" s="12" t="n">
        <v>0</v>
      </c>
      <c r="E18" s="13" t="n">
        <v>3.43</v>
      </c>
      <c r="F18" s="2" t="s">
        <v>90</v>
      </c>
      <c r="G18" s="2" t="s">
        <v>570</v>
      </c>
      <c r="H18" s="2" t="s">
        <v>768</v>
      </c>
    </row>
    <row r="19" customFormat="false" ht="39.55" hidden="false" customHeight="false" outlineLevel="0" collapsed="false">
      <c r="A19" s="2" t="s">
        <v>427</v>
      </c>
      <c r="B19" s="2" t="n">
        <v>0</v>
      </c>
      <c r="C19" s="2" t="n">
        <v>956</v>
      </c>
      <c r="D19" s="12" t="n">
        <v>0</v>
      </c>
      <c r="E19" s="13" t="n">
        <v>7.97</v>
      </c>
      <c r="F19" s="2" t="s">
        <v>90</v>
      </c>
      <c r="G19" s="2" t="s">
        <v>570</v>
      </c>
      <c r="H19" s="2" t="s">
        <v>768</v>
      </c>
    </row>
    <row r="20" customFormat="false" ht="39.55" hidden="false" customHeight="false" outlineLevel="0" collapsed="false">
      <c r="A20" s="2" t="s">
        <v>91</v>
      </c>
      <c r="B20" s="2" t="n">
        <v>4</v>
      </c>
      <c r="C20" s="2" t="n">
        <v>724</v>
      </c>
      <c r="D20" s="12" t="n">
        <v>0.0055</v>
      </c>
      <c r="E20" s="13" t="n">
        <v>6.42</v>
      </c>
      <c r="F20" s="2" t="s">
        <v>48</v>
      </c>
      <c r="G20" s="2" t="s">
        <v>562</v>
      </c>
      <c r="H20" s="2" t="s">
        <v>769</v>
      </c>
    </row>
    <row r="21" customFormat="false" ht="39.55" hidden="false" customHeight="false" outlineLevel="0" collapsed="false">
      <c r="A21" s="2" t="s">
        <v>83</v>
      </c>
      <c r="B21" s="2" t="n">
        <v>5</v>
      </c>
      <c r="C21" s="2" t="n">
        <v>1375</v>
      </c>
      <c r="D21" s="12" t="n">
        <v>0.0036</v>
      </c>
      <c r="E21" s="13" t="n">
        <v>12.91</v>
      </c>
      <c r="F21" s="2" t="s">
        <v>48</v>
      </c>
      <c r="G21" s="2" t="s">
        <v>562</v>
      </c>
      <c r="H21" s="2" t="s">
        <v>769</v>
      </c>
    </row>
    <row r="22" customFormat="false" ht="39.55" hidden="false" customHeight="false" outlineLevel="0" collapsed="false">
      <c r="A22" s="2" t="s">
        <v>433</v>
      </c>
      <c r="B22" s="2" t="n">
        <v>0</v>
      </c>
      <c r="C22" s="2" t="n">
        <v>483</v>
      </c>
      <c r="D22" s="12" t="n">
        <v>0</v>
      </c>
      <c r="E22" s="13" t="n">
        <v>4.66</v>
      </c>
      <c r="F22" s="2" t="s">
        <v>90</v>
      </c>
      <c r="G22" s="2" t="s">
        <v>570</v>
      </c>
      <c r="H22" s="2" t="s">
        <v>768</v>
      </c>
    </row>
    <row r="23" customFormat="false" ht="39.55" hidden="false" customHeight="false" outlineLevel="0" collapsed="false">
      <c r="A23" s="2" t="s">
        <v>434</v>
      </c>
      <c r="B23" s="2" t="n">
        <v>0</v>
      </c>
      <c r="C23" s="2" t="n">
        <v>467</v>
      </c>
      <c r="D23" s="12" t="n">
        <v>0</v>
      </c>
      <c r="E23" s="13" t="n">
        <v>4.74</v>
      </c>
      <c r="F23" s="2" t="s">
        <v>90</v>
      </c>
      <c r="G23" s="2" t="s">
        <v>570</v>
      </c>
      <c r="H23" s="2" t="s">
        <v>768</v>
      </c>
    </row>
    <row r="24" customFormat="false" ht="15" hidden="false" customHeight="false" outlineLevel="0" collapsed="false">
      <c r="A24" s="2" t="s">
        <v>55</v>
      </c>
      <c r="B24" s="2" t="n">
        <v>15</v>
      </c>
      <c r="C24" s="2" t="n">
        <v>439</v>
      </c>
      <c r="D24" s="12" t="n">
        <v>0.0342</v>
      </c>
      <c r="E24" s="13" t="n">
        <v>4.43</v>
      </c>
      <c r="F24" s="2" t="s">
        <v>56</v>
      </c>
      <c r="G24" s="2"/>
      <c r="H24" s="2"/>
    </row>
    <row r="25" customFormat="false" ht="39.55" hidden="false" customHeight="false" outlineLevel="0" collapsed="false">
      <c r="A25" s="2" t="s">
        <v>170</v>
      </c>
      <c r="B25" s="2" t="n">
        <v>1</v>
      </c>
      <c r="C25" s="2" t="n">
        <v>1098</v>
      </c>
      <c r="D25" s="12" t="n">
        <v>0.0009</v>
      </c>
      <c r="E25" s="13" t="n">
        <v>11.69</v>
      </c>
      <c r="F25" s="2" t="s">
        <v>90</v>
      </c>
      <c r="G25" s="2" t="s">
        <v>570</v>
      </c>
      <c r="H25" s="2" t="s">
        <v>768</v>
      </c>
    </row>
    <row r="26" customFormat="false" ht="39.55" hidden="false" customHeight="false" outlineLevel="0" collapsed="false">
      <c r="A26" s="2" t="s">
        <v>449</v>
      </c>
      <c r="B26" s="2" t="n">
        <v>0</v>
      </c>
      <c r="C26" s="2" t="n">
        <v>299</v>
      </c>
      <c r="D26" s="12" t="n">
        <v>0</v>
      </c>
      <c r="E26" s="13" t="n">
        <v>3.51</v>
      </c>
      <c r="F26" s="2" t="s">
        <v>90</v>
      </c>
      <c r="G26" s="2" t="s">
        <v>570</v>
      </c>
      <c r="H26" s="2" t="s">
        <v>768</v>
      </c>
    </row>
    <row r="27" customFormat="false" ht="39.55" hidden="false" customHeight="false" outlineLevel="0" collapsed="false">
      <c r="A27" s="2" t="s">
        <v>124</v>
      </c>
      <c r="B27" s="2" t="n">
        <v>2</v>
      </c>
      <c r="C27" s="2" t="n">
        <v>1087</v>
      </c>
      <c r="D27" s="12" t="n">
        <v>0.0018</v>
      </c>
      <c r="E27" s="13" t="n">
        <v>12.78</v>
      </c>
      <c r="F27" s="2" t="s">
        <v>90</v>
      </c>
      <c r="G27" s="2" t="s">
        <v>570</v>
      </c>
      <c r="H27" s="2" t="s">
        <v>768</v>
      </c>
    </row>
    <row r="28" customFormat="false" ht="39.55" hidden="false" customHeight="false" outlineLevel="0" collapsed="false">
      <c r="A28" s="2" t="s">
        <v>436</v>
      </c>
      <c r="B28" s="2" t="n">
        <v>0</v>
      </c>
      <c r="C28" s="2" t="n">
        <v>412</v>
      </c>
      <c r="D28" s="12" t="n">
        <v>0</v>
      </c>
      <c r="E28" s="13" t="n">
        <v>5.55</v>
      </c>
      <c r="F28" s="2" t="s">
        <v>90</v>
      </c>
      <c r="G28" s="2" t="s">
        <v>570</v>
      </c>
      <c r="H28" s="2" t="s">
        <v>768</v>
      </c>
    </row>
    <row r="29" customFormat="false" ht="26.85" hidden="false" customHeight="false" outlineLevel="0" collapsed="false">
      <c r="A29" s="2" t="s">
        <v>446</v>
      </c>
      <c r="B29" s="2" t="n">
        <v>0</v>
      </c>
      <c r="C29" s="2" t="n">
        <v>312</v>
      </c>
      <c r="D29" s="12" t="n">
        <v>0</v>
      </c>
      <c r="E29" s="13" t="n">
        <v>4.77</v>
      </c>
      <c r="F29" s="2" t="s">
        <v>56</v>
      </c>
      <c r="G29" s="2"/>
      <c r="H29" s="2"/>
    </row>
    <row r="30" customFormat="false" ht="39.55" hidden="false" customHeight="false" outlineLevel="0" collapsed="false">
      <c r="A30" s="2" t="s">
        <v>429</v>
      </c>
      <c r="B30" s="2" t="n">
        <v>0</v>
      </c>
      <c r="C30" s="2" t="n">
        <v>668</v>
      </c>
      <c r="D30" s="12" t="n">
        <v>0</v>
      </c>
      <c r="E30" s="13" t="n">
        <v>11.08</v>
      </c>
      <c r="F30" s="2" t="s">
        <v>48</v>
      </c>
      <c r="G30" s="2" t="s">
        <v>562</v>
      </c>
      <c r="H30" s="2" t="s">
        <v>769</v>
      </c>
    </row>
    <row r="31" customFormat="false" ht="39.55" hidden="false" customHeight="false" outlineLevel="0" collapsed="false">
      <c r="A31" s="2" t="s">
        <v>441</v>
      </c>
      <c r="B31" s="2" t="n">
        <v>0</v>
      </c>
      <c r="C31" s="2" t="n">
        <v>367</v>
      </c>
      <c r="D31" s="12" t="n">
        <v>0</v>
      </c>
      <c r="E31" s="13" t="n">
        <v>6.14</v>
      </c>
      <c r="F31" s="2" t="s">
        <v>90</v>
      </c>
      <c r="G31" s="2" t="s">
        <v>570</v>
      </c>
      <c r="H31" s="2" t="s">
        <v>768</v>
      </c>
    </row>
    <row r="32" customFormat="false" ht="39.55" hidden="false" customHeight="false" outlineLevel="0" collapsed="false">
      <c r="A32" s="2" t="s">
        <v>74</v>
      </c>
      <c r="B32" s="2" t="n">
        <v>8</v>
      </c>
      <c r="C32" s="2" t="n">
        <v>364</v>
      </c>
      <c r="D32" s="12" t="n">
        <v>0.022</v>
      </c>
      <c r="E32" s="13" t="n">
        <v>6.03</v>
      </c>
      <c r="F32" s="2" t="s">
        <v>48</v>
      </c>
      <c r="G32" s="2" t="s">
        <v>562</v>
      </c>
      <c r="H32" s="2" t="s">
        <v>769</v>
      </c>
    </row>
    <row r="33" customFormat="false" ht="39.55" hidden="false" customHeight="false" outlineLevel="0" collapsed="false">
      <c r="A33" s="2" t="s">
        <v>479</v>
      </c>
      <c r="B33" s="2" t="n">
        <v>0</v>
      </c>
      <c r="C33" s="2" t="n">
        <v>194</v>
      </c>
      <c r="D33" s="12" t="n">
        <v>0</v>
      </c>
      <c r="E33" s="13" t="n">
        <v>3.31</v>
      </c>
      <c r="F33" s="2" t="s">
        <v>90</v>
      </c>
      <c r="G33" s="2" t="s">
        <v>570</v>
      </c>
      <c r="H33" s="2" t="s">
        <v>768</v>
      </c>
    </row>
    <row r="34" customFormat="false" ht="39.55" hidden="false" customHeight="false" outlineLevel="0" collapsed="false">
      <c r="A34" s="2" t="s">
        <v>108</v>
      </c>
      <c r="B34" s="2" t="n">
        <v>3</v>
      </c>
      <c r="C34" s="2" t="n">
        <v>198</v>
      </c>
      <c r="D34" s="12" t="n">
        <v>0.0152</v>
      </c>
      <c r="E34" s="13" t="n">
        <v>3.38</v>
      </c>
      <c r="F34" s="2" t="s">
        <v>48</v>
      </c>
      <c r="G34" s="2" t="s">
        <v>562</v>
      </c>
      <c r="H34" s="2" t="s">
        <v>769</v>
      </c>
    </row>
    <row r="35" customFormat="false" ht="15" hidden="false" customHeight="false" outlineLevel="0" collapsed="false">
      <c r="A35" s="2" t="s">
        <v>172</v>
      </c>
      <c r="B35" s="2" t="n">
        <v>1</v>
      </c>
      <c r="C35" s="2" t="n">
        <v>481</v>
      </c>
      <c r="D35" s="12" t="n">
        <v>0.0021</v>
      </c>
      <c r="E35" s="13" t="n">
        <v>8.36</v>
      </c>
      <c r="F35" s="2" t="s">
        <v>68</v>
      </c>
      <c r="G35" s="2" t="s">
        <v>771</v>
      </c>
      <c r="H35" s="2" t="s">
        <v>772</v>
      </c>
    </row>
    <row r="36" customFormat="false" ht="39.55" hidden="false" customHeight="false" outlineLevel="0" collapsed="false">
      <c r="A36" s="2" t="s">
        <v>451</v>
      </c>
      <c r="B36" s="2" t="n">
        <v>0</v>
      </c>
      <c r="C36" s="2" t="n">
        <v>277</v>
      </c>
      <c r="D36" s="12" t="n">
        <v>0</v>
      </c>
      <c r="E36" s="13" t="n">
        <v>4.86</v>
      </c>
      <c r="F36" s="2" t="s">
        <v>90</v>
      </c>
      <c r="G36" s="2" t="s">
        <v>570</v>
      </c>
      <c r="H36" s="2" t="s">
        <v>768</v>
      </c>
    </row>
    <row r="37" customFormat="false" ht="39.55" hidden="false" customHeight="false" outlineLevel="0" collapsed="false">
      <c r="A37" s="2" t="s">
        <v>445</v>
      </c>
      <c r="B37" s="2" t="n">
        <v>0</v>
      </c>
      <c r="C37" s="2" t="n">
        <v>329</v>
      </c>
      <c r="D37" s="12" t="n">
        <v>0</v>
      </c>
      <c r="E37" s="13" t="n">
        <v>5.81</v>
      </c>
      <c r="F37" s="2" t="s">
        <v>48</v>
      </c>
      <c r="G37" s="2" t="s">
        <v>562</v>
      </c>
      <c r="H37" s="2" t="s">
        <v>769</v>
      </c>
    </row>
    <row r="38" customFormat="false" ht="39.55" hidden="false" customHeight="false" outlineLevel="0" collapsed="false">
      <c r="A38" s="2" t="s">
        <v>460</v>
      </c>
      <c r="B38" s="2" t="n">
        <v>0</v>
      </c>
      <c r="C38" s="2" t="n">
        <v>239</v>
      </c>
      <c r="D38" s="12" t="n">
        <v>0</v>
      </c>
      <c r="E38" s="13" t="n">
        <v>4.28</v>
      </c>
      <c r="F38" s="2" t="s">
        <v>90</v>
      </c>
      <c r="G38" s="2" t="s">
        <v>570</v>
      </c>
      <c r="H38" s="2" t="s">
        <v>768</v>
      </c>
    </row>
    <row r="39" customFormat="false" ht="39.55" hidden="false" customHeight="false" outlineLevel="0" collapsed="false">
      <c r="A39" s="2" t="s">
        <v>454</v>
      </c>
      <c r="B39" s="2" t="n">
        <v>0</v>
      </c>
      <c r="C39" s="2" t="n">
        <v>268</v>
      </c>
      <c r="D39" s="12" t="n">
        <v>0</v>
      </c>
      <c r="E39" s="13" t="n">
        <v>4.82</v>
      </c>
      <c r="F39" s="2" t="s">
        <v>90</v>
      </c>
      <c r="G39" s="2" t="s">
        <v>570</v>
      </c>
      <c r="H39" s="2" t="s">
        <v>768</v>
      </c>
    </row>
    <row r="40" customFormat="false" ht="39.55" hidden="false" customHeight="false" outlineLevel="0" collapsed="false">
      <c r="A40" s="2" t="s">
        <v>171</v>
      </c>
      <c r="B40" s="2" t="n">
        <v>1</v>
      </c>
      <c r="C40" s="2" t="n">
        <v>922</v>
      </c>
      <c r="D40" s="12" t="n">
        <v>0.0011</v>
      </c>
      <c r="E40" s="13" t="n">
        <v>17.13</v>
      </c>
      <c r="F40" s="2" t="s">
        <v>48</v>
      </c>
      <c r="G40" s="2" t="s">
        <v>562</v>
      </c>
      <c r="H40" s="2" t="s">
        <v>769</v>
      </c>
    </row>
    <row r="41" customFormat="false" ht="39.55" hidden="false" customHeight="false" outlineLevel="0" collapsed="false">
      <c r="A41" s="2" t="s">
        <v>480</v>
      </c>
      <c r="B41" s="2" t="n">
        <v>0</v>
      </c>
      <c r="C41" s="2" t="n">
        <v>191</v>
      </c>
      <c r="D41" s="12" t="n">
        <v>0</v>
      </c>
      <c r="E41" s="13" t="n">
        <v>3.58</v>
      </c>
      <c r="F41" s="2" t="s">
        <v>90</v>
      </c>
      <c r="G41" s="2" t="s">
        <v>570</v>
      </c>
      <c r="H41" s="2" t="s">
        <v>768</v>
      </c>
    </row>
  </sheetData>
  <autoFilter ref="A1:H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5" min="5" style="0" width="10"/>
  </cols>
  <sheetData>
    <row r="1" customFormat="false" ht="26.85" hidden="false" customHeight="false" outlineLevel="0" collapsed="false">
      <c r="A1" s="4" t="s">
        <v>773</v>
      </c>
      <c r="B1" s="4" t="s">
        <v>34</v>
      </c>
      <c r="C1" s="4" t="s">
        <v>35</v>
      </c>
      <c r="D1" s="4" t="s">
        <v>36</v>
      </c>
      <c r="E1" s="4" t="s">
        <v>37</v>
      </c>
    </row>
    <row r="2" customFormat="false" ht="15" hidden="false" customHeight="false" outlineLevel="0" collapsed="false">
      <c r="A2" s="6" t="s">
        <v>774</v>
      </c>
      <c r="B2" s="6" t="n">
        <v>2231</v>
      </c>
      <c r="C2" s="6" t="n">
        <v>136533</v>
      </c>
      <c r="D2" s="7" t="n">
        <v>0.0163</v>
      </c>
      <c r="E2" s="6" t="n">
        <v>9.94</v>
      </c>
    </row>
    <row r="3" customFormat="false" ht="15" hidden="false" customHeight="false" outlineLevel="0" collapsed="false">
      <c r="A3" s="6" t="s">
        <v>775</v>
      </c>
      <c r="B3" s="6" t="n">
        <v>558</v>
      </c>
      <c r="C3" s="6" t="n">
        <v>137827</v>
      </c>
      <c r="D3" s="7" t="n">
        <v>0.004</v>
      </c>
      <c r="E3" s="6" t="n">
        <v>20.7</v>
      </c>
    </row>
    <row r="4" customFormat="false" ht="15" hidden="false" customHeight="false" outlineLevel="0" collapsed="false">
      <c r="A4" s="6" t="s">
        <v>776</v>
      </c>
      <c r="B4" s="6" t="n">
        <v>28</v>
      </c>
      <c r="C4" s="6" t="n">
        <v>2032</v>
      </c>
      <c r="D4" s="7" t="n">
        <v>0.0138</v>
      </c>
      <c r="E4" s="6" t="n">
        <v>22.94</v>
      </c>
    </row>
  </sheetData>
  <autoFilter ref="A1:E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2026-09-09T19:29:41Z</dcterms:created>
  <dc:creator>openpyxl</dc:creator>
  <dc:description/>
  <dc:language>en-US</dc:language>
  <cp:lastModifiedBy/>
  <dcterms:modified xsi:type="dcterms:W3CDTF">2026-09-09T19:29:41Z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